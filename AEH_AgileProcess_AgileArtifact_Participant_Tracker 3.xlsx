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19e7e5e6757e6a9/Desktop/Capstone/"/>
    </mc:Choice>
  </mc:AlternateContent>
  <xr:revisionPtr revIDLastSave="73" documentId="13_ncr:1_{B26875A1-2F1D-4EF4-BB88-F36876D8C677}" xr6:coauthVersionLast="47" xr6:coauthVersionMax="47" xr10:uidLastSave="{16FB06E9-A510-46BC-B7BE-48DB49892A7B}"/>
  <bookViews>
    <workbookView xWindow="-108" yWindow="-108" windowWidth="23256" windowHeight="12456" xr2:uid="{6C4A265F-8B42-40C5-B0F3-3FAA8E237428}"/>
  </bookViews>
  <sheets>
    <sheet name="ProductBacklog" sheetId="1" r:id="rId1"/>
    <sheet name="UserStories" sheetId="2" r:id="rId2"/>
    <sheet name="StoryPoints&amp;SprintPlan" sheetId="3" r:id="rId3"/>
    <sheet name="ActivityEffortEstimation" sheetId="4" r:id="rId4"/>
    <sheet name="ActivityTracker" sheetId="6" r:id="rId5"/>
    <sheet name="BurnDownChart"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6" l="1"/>
  <c r="F25" i="4"/>
  <c r="D10" i="3"/>
  <c r="F9" i="3"/>
  <c r="E6" i="6"/>
  <c r="E7" i="6"/>
  <c r="E8" i="6"/>
  <c r="E9" i="6"/>
  <c r="E10" i="6"/>
  <c r="E11" i="6"/>
  <c r="E12" i="6"/>
  <c r="E13" i="6"/>
  <c r="E14" i="6"/>
  <c r="E15" i="6"/>
  <c r="E16" i="6"/>
  <c r="E17" i="6"/>
  <c r="E18" i="6"/>
  <c r="E19" i="6"/>
  <c r="E20" i="6"/>
  <c r="E21" i="6"/>
  <c r="E22" i="6"/>
  <c r="E23" i="6"/>
  <c r="E24" i="6"/>
  <c r="E5" i="6"/>
  <c r="F14" i="3"/>
  <c r="D14" i="3"/>
  <c r="B14" i="3"/>
  <c r="D7" i="3"/>
  <c r="I5" i="4" l="1"/>
  <c r="I6" i="4"/>
  <c r="I7" i="4"/>
  <c r="C15" i="7" s="1"/>
  <c r="I8" i="4"/>
  <c r="C16" i="7" s="1"/>
  <c r="I9" i="4"/>
  <c r="C17" i="7" s="1"/>
  <c r="O25" i="6" l="1"/>
  <c r="N25" i="6"/>
  <c r="M25" i="6"/>
  <c r="L25" i="6"/>
  <c r="K25" i="6"/>
  <c r="J25" i="6"/>
  <c r="I25" i="6"/>
  <c r="H25" i="6"/>
  <c r="G25" i="6"/>
  <c r="F25" i="6"/>
  <c r="D25" i="4"/>
  <c r="C8" i="7" l="1"/>
  <c r="C9" i="7" s="1"/>
  <c r="C10" i="7" s="1"/>
  <c r="C11" i="7" s="1"/>
  <c r="C18" i="7"/>
  <c r="D18" i="7" l="1"/>
  <c r="D10" i="7"/>
  <c r="D11" i="7" s="1"/>
</calcChain>
</file>

<file path=xl/sharedStrings.xml><?xml version="1.0" encoding="utf-8"?>
<sst xmlns="http://schemas.openxmlformats.org/spreadsheetml/2006/main" count="314" uniqueCount="147">
  <si>
    <t>Java Stream Case Study - FSE Program</t>
  </si>
  <si>
    <r>
      <rPr>
        <b/>
        <sz val="14"/>
        <color theme="0"/>
        <rFont val="Calibri"/>
        <family val="2"/>
        <scheme val="minor"/>
      </rP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</si>
  <si>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No</t>
  </si>
  <si>
    <t>Product Backlog Items</t>
  </si>
  <si>
    <t>Invoking Vendor Micro Service for fetching Vendor Information</t>
  </si>
  <si>
    <t>Invoking Material Micro Service for fetching details of Materials available.</t>
  </si>
  <si>
    <t>Registering the purchases made with different Vendors and Retrieving the details of materials purchased from a selected vendor between specified dates.</t>
  </si>
  <si>
    <t>Product Backlog Items and Requirement Description</t>
  </si>
  <si>
    <t>User Story Title</t>
  </si>
  <si>
    <t>Requirement Description</t>
  </si>
  <si>
    <t>Vendor Microservice</t>
  </si>
  <si>
    <t>This requirement focuses on building and deploying vendor micro service application So that all the vendor details can be fetched from the service which helps to generate a Purchase Entry in our application.</t>
  </si>
  <si>
    <t>Invoking Material Micro Service for fetching details of Materials available</t>
  </si>
  <si>
    <t>Material Microservice</t>
  </si>
  <si>
    <t>This requirement focuses on building and deploying material micro service application So that all the material details can be fetched from the service which helps to generate a Purchase Entry in our application.</t>
  </si>
  <si>
    <t>Registering the purchases made with different Vendors and Retrieving the details of materials purchased from a selected vendor between specified dates</t>
  </si>
  <si>
    <t>Material Purchase Entry</t>
  </si>
  <si>
    <t>This requirement focuses on saving the materials purchased from different vendors in IMS database, So that the purchase details are maintained internally which helps retrieving materials purchased from a selected vendor between specified dates.</t>
  </si>
  <si>
    <r>
      <t xml:space="preserve">Functionality: </t>
    </r>
    <r>
      <rPr>
        <sz val="12"/>
        <color theme="0"/>
        <rFont val="Calibri"/>
        <family val="2"/>
        <scheme val="minor"/>
      </rPr>
      <t>This user story focuses on building and deploying vendor micro service application. So that all the vendor details can be fetched from the service which helps to generate a Purchase Entry in our application.</t>
    </r>
  </si>
  <si>
    <r>
      <t>Id: UserStory-</t>
    </r>
    <r>
      <rPr>
        <b/>
        <sz val="12"/>
        <color rgb="FF000000"/>
        <rFont val="Calibri"/>
        <family val="2"/>
        <scheme val="minor"/>
      </rPr>
      <t>01</t>
    </r>
    <r>
      <rPr>
        <b/>
        <sz val="12"/>
        <color theme="1"/>
        <rFont val="Calibri"/>
        <family val="2"/>
        <scheme val="minor"/>
      </rPr>
      <t xml:space="preserve">       User Story Title: Vendor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</si>
  <si>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vendor service application </t>
    </r>
    <r>
      <rPr>
        <b/>
        <i/>
        <sz val="12"/>
        <color rgb="FF000000"/>
        <rFont val="Calibri"/>
        <family val="2"/>
        <scheme val="minor"/>
      </rPr>
      <t xml:space="preserve">So that </t>
    </r>
    <r>
      <rPr>
        <sz val="12"/>
        <color rgb="FF000000"/>
        <rFont val="Calibri"/>
        <family val="2"/>
        <scheme val="minor"/>
      </rPr>
      <t>all the vendor details are provided as a service</t>
    </r>
  </si>
  <si>
    <t>Acceptance Criteria:</t>
  </si>
  <si>
    <r>
      <t>1.</t>
    </r>
    <r>
      <rPr>
        <sz val="12"/>
        <color theme="1"/>
        <rFont val="Times New Roman"/>
        <family val="1"/>
      </rPr>
      <t xml:space="preserve">      </t>
    </r>
    <r>
      <rPr>
        <sz val="12"/>
        <color rgb="FF000000"/>
        <rFont val="Calibri"/>
        <family val="2"/>
        <scheme val="minor"/>
      </rPr>
      <t>Import the vendor service project structure provided</t>
    </r>
  </si>
  <si>
    <r>
      <t>2.</t>
    </r>
    <r>
      <rPr>
        <sz val="12"/>
        <color theme="1"/>
        <rFont val="Times New Roman"/>
        <family val="1"/>
      </rPr>
      <t xml:space="preserve">      </t>
    </r>
    <r>
      <rPr>
        <sz val="12"/>
        <color rgb="FF000000"/>
        <rFont val="Calibri"/>
        <family val="2"/>
        <scheme val="minor"/>
      </rPr>
      <t>Create a REST service to fetch list of vendors from DB</t>
    </r>
  </si>
  <si>
    <r>
      <t>3.</t>
    </r>
    <r>
      <rPr>
        <sz val="12"/>
        <color theme="1"/>
        <rFont val="Times New Roman"/>
        <family val="1"/>
      </rPr>
      <t xml:space="preserve">      </t>
    </r>
    <r>
      <rPr>
        <sz val="12"/>
        <color rgb="FF000000"/>
        <rFont val="Calibri"/>
        <family val="2"/>
        <scheme val="minor"/>
      </rPr>
      <t>Create JUnit test classes for vendor controller, service and DAO classes</t>
    </r>
  </si>
  <si>
    <r>
      <t>4.</t>
    </r>
    <r>
      <rPr>
        <sz val="12"/>
        <color theme="1"/>
        <rFont val="Times New Roman"/>
        <family val="1"/>
      </rPr>
      <t xml:space="preserve">      </t>
    </r>
    <r>
      <rPr>
        <sz val="12"/>
        <color rgb="FF000000"/>
        <rFont val="Calibri"/>
        <family val="2"/>
        <scheme val="minor"/>
      </rPr>
      <t>Run and test vendor application</t>
    </r>
  </si>
  <si>
    <r>
      <t>Functionality:</t>
    </r>
    <r>
      <rPr>
        <b/>
        <sz val="12"/>
        <color theme="0"/>
        <rFont val="Calibri"/>
        <family val="2"/>
        <scheme val="minor"/>
      </rPr>
      <t xml:space="preserve"> </t>
    </r>
    <r>
      <rPr>
        <sz val="12"/>
        <color theme="0"/>
        <rFont val="Calibri"/>
        <family val="2"/>
        <scheme val="minor"/>
      </rPr>
      <t>This user story focuses on building and deploying material micro service application. So that all the material details can be fetched from the service which helps to generate a Purchase Entry in our application.</t>
    </r>
  </si>
  <si>
    <r>
      <t>Id: UserStory-</t>
    </r>
    <r>
      <rPr>
        <b/>
        <sz val="12"/>
        <color rgb="FF000000"/>
        <rFont val="Calibri"/>
        <family val="2"/>
        <scheme val="minor"/>
      </rPr>
      <t>02</t>
    </r>
    <r>
      <rPr>
        <b/>
        <sz val="12"/>
        <color theme="1"/>
        <rFont val="Calibri"/>
        <family val="2"/>
        <scheme val="minor"/>
      </rPr>
      <t xml:space="preserve">     User Story Title: Material Microservice</t>
    </r>
  </si>
  <si>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As a</t>
    </r>
    <r>
      <rPr>
        <sz val="12"/>
        <color rgb="FF000000"/>
        <rFont val="Calibri"/>
        <family val="2"/>
        <scheme val="minor"/>
      </rPr>
      <t xml:space="preserve"> developer,</t>
    </r>
    <r>
      <rPr>
        <b/>
        <i/>
        <sz val="12"/>
        <color rgb="FF000000"/>
        <rFont val="Calibri"/>
        <family val="2"/>
        <scheme val="minor"/>
      </rPr>
      <t xml:space="preserve"> I</t>
    </r>
    <r>
      <rPr>
        <sz val="12"/>
        <color rgb="FF000000"/>
        <rFont val="Calibri"/>
        <family val="2"/>
        <scheme val="minor"/>
      </rPr>
      <t xml:space="preserve"> </t>
    </r>
    <r>
      <rPr>
        <b/>
        <i/>
        <sz val="12"/>
        <color rgb="FF000000"/>
        <rFont val="Calibri"/>
        <family val="2"/>
        <scheme val="minor"/>
      </rPr>
      <t xml:space="preserve">want </t>
    </r>
    <r>
      <rPr>
        <sz val="12"/>
        <color rgb="FF000000"/>
        <rFont val="Calibri"/>
        <family val="2"/>
        <scheme val="minor"/>
      </rPr>
      <t xml:space="preserve">to build and deploy material service application </t>
    </r>
    <r>
      <rPr>
        <b/>
        <i/>
        <sz val="12"/>
        <color rgb="FF000000"/>
        <rFont val="Calibri"/>
        <family val="2"/>
        <scheme val="minor"/>
      </rPr>
      <t xml:space="preserve">So that </t>
    </r>
    <r>
      <rPr>
        <sz val="12"/>
        <color rgb="FF000000"/>
        <rFont val="Calibri"/>
        <family val="2"/>
        <scheme val="minor"/>
      </rPr>
      <t>all the material details are provided as a service</t>
    </r>
  </si>
  <si>
    <r>
      <t>1.</t>
    </r>
    <r>
      <rPr>
        <sz val="12"/>
        <color theme="1"/>
        <rFont val="Times New Roman"/>
        <family val="1"/>
      </rPr>
      <t xml:space="preserve">      </t>
    </r>
    <r>
      <rPr>
        <sz val="12"/>
        <color rgb="FF000000"/>
        <rFont val="Calibri"/>
        <family val="2"/>
        <scheme val="minor"/>
      </rPr>
      <t>Import the material service project structure provided</t>
    </r>
  </si>
  <si>
    <r>
      <t>2.</t>
    </r>
    <r>
      <rPr>
        <sz val="12"/>
        <color theme="1"/>
        <rFont val="Times New Roman"/>
        <family val="1"/>
      </rPr>
      <t xml:space="preserve">      </t>
    </r>
    <r>
      <rPr>
        <sz val="12"/>
        <color rgb="FF000000"/>
        <rFont val="Calibri"/>
        <family val="2"/>
        <scheme val="minor"/>
      </rPr>
      <t>Create a REST service that fetches material category list from DB</t>
    </r>
  </si>
  <si>
    <r>
      <t>3.</t>
    </r>
    <r>
      <rPr>
        <sz val="12"/>
        <color theme="1"/>
        <rFont val="Times New Roman"/>
        <family val="1"/>
      </rPr>
      <t xml:space="preserve">      </t>
    </r>
    <r>
      <rPr>
        <sz val="12"/>
        <color rgb="FF000000"/>
        <rFont val="Calibri"/>
        <family val="2"/>
        <scheme val="minor"/>
      </rPr>
      <t>Create a REST service that fetches material type list for the chosen category from DB</t>
    </r>
  </si>
  <si>
    <r>
      <t>4.</t>
    </r>
    <r>
      <rPr>
        <sz val="12"/>
        <color theme="1"/>
        <rFont val="Times New Roman"/>
        <family val="1"/>
      </rPr>
      <t xml:space="preserve">      </t>
    </r>
    <r>
      <rPr>
        <sz val="12"/>
        <color rgb="FF000000"/>
        <rFont val="Calibri"/>
        <family val="2"/>
        <scheme val="minor"/>
      </rPr>
      <t>Create a REST service that fetches unit list for the chosen category from DB</t>
    </r>
  </si>
  <si>
    <r>
      <t>5.</t>
    </r>
    <r>
      <rPr>
        <sz val="12"/>
        <color theme="1"/>
        <rFont val="Times New Roman"/>
        <family val="1"/>
      </rPr>
      <t xml:space="preserve">      </t>
    </r>
    <r>
      <rPr>
        <sz val="12"/>
        <color rgb="FF000000"/>
        <rFont val="Calibri"/>
        <family val="2"/>
        <scheme val="minor"/>
      </rPr>
      <t>Create JUnit test classes for all material controllers, services and DAO classes</t>
    </r>
  </si>
  <si>
    <r>
      <t>6.</t>
    </r>
    <r>
      <rPr>
        <sz val="12"/>
        <color theme="1"/>
        <rFont val="Times New Roman"/>
        <family val="1"/>
      </rPr>
      <t xml:space="preserve">      </t>
    </r>
    <r>
      <rPr>
        <sz val="12"/>
        <color rgb="FF000000"/>
        <rFont val="Calibri"/>
        <family val="2"/>
        <scheme val="minor"/>
      </rPr>
      <t>Run and test material application.</t>
    </r>
  </si>
  <si>
    <r>
      <t xml:space="preserve">Functionality: </t>
    </r>
    <r>
      <rPr>
        <sz val="12"/>
        <color theme="0"/>
        <rFont val="Calibri"/>
        <family val="2"/>
        <scheme val="minor"/>
      </rPr>
      <t>This user story focuses on saving the materials purchased from different vendors in IMS database, So that the purchase details are maintained internally which helps retrieving materials purchased from a selected vendor between specified dates.</t>
    </r>
  </si>
  <si>
    <t>Id: UserStory-03     User Story Title: Material Purchase Entry</t>
  </si>
  <si>
    <r>
      <rPr>
        <b/>
        <sz val="12"/>
        <color theme="1"/>
        <rFont val="Calibri"/>
        <family val="2"/>
        <scheme val="minor"/>
      </rPr>
      <t>Narrative:</t>
    </r>
    <r>
      <rPr>
        <sz val="12"/>
        <color theme="1"/>
        <rFont val="Calibri"/>
        <family val="2"/>
        <scheme val="minor"/>
      </rPr>
      <t xml:space="preserve"> </t>
    </r>
    <r>
      <rPr>
        <b/>
        <i/>
        <sz val="12"/>
        <color rgb="FF000000"/>
        <rFont val="Calibri"/>
        <family val="2"/>
        <scheme val="minor"/>
      </rPr>
      <t xml:space="preserve">As an </t>
    </r>
    <r>
      <rPr>
        <sz val="12"/>
        <color rgb="FF000000"/>
        <rFont val="Calibri"/>
        <family val="2"/>
        <scheme val="minor"/>
      </rPr>
      <t>IMS user</t>
    </r>
    <r>
      <rPr>
        <b/>
        <i/>
        <sz val="12"/>
        <color rgb="FF000000"/>
        <rFont val="Calibri"/>
        <family val="2"/>
        <scheme val="minor"/>
      </rPr>
      <t xml:space="preserve">, I want </t>
    </r>
    <r>
      <rPr>
        <sz val="12"/>
        <color rgb="FF000000"/>
        <rFont val="Calibri"/>
        <family val="2"/>
        <scheme val="minor"/>
      </rPr>
      <t>to save the material purchase details from vendors in IMS purchase database</t>
    </r>
    <r>
      <rPr>
        <b/>
        <i/>
        <sz val="12"/>
        <color rgb="FF000000"/>
        <rFont val="Calibri"/>
        <family val="2"/>
        <scheme val="minor"/>
      </rPr>
      <t xml:space="preserve"> So that </t>
    </r>
    <r>
      <rPr>
        <sz val="12"/>
        <color rgb="FF000000"/>
        <rFont val="Calibri"/>
        <family val="2"/>
        <scheme val="minor"/>
      </rPr>
      <t>the purchase details are maintained</t>
    </r>
    <r>
      <rPr>
        <sz val="12"/>
        <color theme="1"/>
        <rFont val="Calibri"/>
        <family val="2"/>
        <scheme val="minor"/>
      </rPr>
      <t xml:space="preserve"> which helps retrieving materials purchased from a selected vendor between specified dates</t>
    </r>
  </si>
  <si>
    <r>
      <t>1.</t>
    </r>
    <r>
      <rPr>
        <sz val="12"/>
        <color theme="1"/>
        <rFont val="Times New Roman"/>
        <family val="1"/>
      </rPr>
      <t xml:space="preserve">      </t>
    </r>
    <r>
      <rPr>
        <sz val="12"/>
        <color rgb="FF000000"/>
        <rFont val="Calibri"/>
        <family val="2"/>
        <scheme val="minor"/>
      </rPr>
      <t xml:space="preserve">Create purchase bean, vendorwise purchase report bean and purchase entity classes </t>
    </r>
  </si>
  <si>
    <r>
      <t>2.</t>
    </r>
    <r>
      <rPr>
        <sz val="12"/>
        <color theme="1"/>
        <rFont val="Times New Roman"/>
        <family val="1"/>
      </rPr>
      <t xml:space="preserve">      </t>
    </r>
    <r>
      <rPr>
        <sz val="12"/>
        <color rgb="FF000000"/>
        <rFont val="Calibri"/>
        <family val="2"/>
        <scheme val="minor"/>
      </rPr>
      <t>Create a REST client to retrieve vendor list using vendor microservice</t>
    </r>
  </si>
  <si>
    <r>
      <t>3.</t>
    </r>
    <r>
      <rPr>
        <sz val="12"/>
        <color theme="1"/>
        <rFont val="Times New Roman"/>
        <family val="1"/>
      </rPr>
      <t xml:space="preserve">      </t>
    </r>
    <r>
      <rPr>
        <sz val="12"/>
        <color rgb="FF000000"/>
        <rFont val="Calibri"/>
        <family val="2"/>
        <scheme val="minor"/>
      </rPr>
      <t>Create a REST client to retrieve material category list using material microservice</t>
    </r>
  </si>
  <si>
    <r>
      <t>4.</t>
    </r>
    <r>
      <rPr>
        <sz val="12"/>
        <color theme="1"/>
        <rFont val="Times New Roman"/>
        <family val="1"/>
      </rPr>
      <t xml:space="preserve">      </t>
    </r>
    <r>
      <rPr>
        <sz val="12"/>
        <color rgb="FF000000"/>
        <rFont val="Calibri"/>
        <family val="2"/>
        <scheme val="minor"/>
      </rPr>
      <t>Create a REST client to retrieve material type list specific to a material category using material microservice</t>
    </r>
  </si>
  <si>
    <r>
      <t>5.</t>
    </r>
    <r>
      <rPr>
        <sz val="12"/>
        <color theme="1"/>
        <rFont val="Times New Roman"/>
        <family val="1"/>
      </rPr>
      <t xml:space="preserve">      </t>
    </r>
    <r>
      <rPr>
        <sz val="12"/>
        <color rgb="FF000000"/>
        <rFont val="Calibri"/>
        <family val="2"/>
        <scheme val="minor"/>
      </rPr>
      <t>Create a REST client to retrieve unit list specific to a material category using material microservice</t>
    </r>
  </si>
  <si>
    <r>
      <t>7.</t>
    </r>
    <r>
      <rPr>
        <sz val="12"/>
        <color theme="1"/>
        <rFont val="Times New Roman"/>
        <family val="1"/>
      </rPr>
      <t xml:space="preserve">      </t>
    </r>
    <r>
      <rPr>
        <sz val="12"/>
        <color rgb="FF000000"/>
        <rFont val="Calibri"/>
        <family val="2"/>
        <scheme val="minor"/>
      </rPr>
      <t>Add spring form validations to PurchaseEntry page</t>
    </r>
  </si>
  <si>
    <r>
      <t>8.</t>
    </r>
    <r>
      <rPr>
        <sz val="12"/>
        <color theme="1"/>
        <rFont val="Times New Roman"/>
        <family val="1"/>
      </rPr>
      <t xml:space="preserve">      </t>
    </r>
    <r>
      <rPr>
        <sz val="12"/>
        <color rgb="FF000000"/>
        <rFont val="Calibri"/>
        <family val="2"/>
        <scheme val="minor"/>
      </rPr>
      <t>Add PurchaseEntryController, ReportsController, Service and DAO classes</t>
    </r>
  </si>
  <si>
    <r>
      <t>9.</t>
    </r>
    <r>
      <rPr>
        <sz val="12"/>
        <color theme="1"/>
        <rFont val="Times New Roman"/>
        <family val="1"/>
      </rPr>
      <t xml:space="preserve">      </t>
    </r>
    <r>
      <rPr>
        <sz val="12"/>
        <color rgb="FF000000"/>
        <rFont val="Calibri"/>
        <family val="2"/>
        <scheme val="minor"/>
      </rPr>
      <t>Create JUnit test classes for all IMS controllers, services and DAO classes</t>
    </r>
  </si>
  <si>
    <r>
      <t>10.</t>
    </r>
    <r>
      <rPr>
        <sz val="12"/>
        <color theme="1"/>
        <rFont val="Times New Roman"/>
        <family val="1"/>
      </rPr>
      <t xml:space="preserve">   </t>
    </r>
    <r>
      <rPr>
        <sz val="12"/>
        <color rgb="FF000000"/>
        <rFont val="Calibri"/>
        <family val="2"/>
        <scheme val="minor"/>
      </rPr>
      <t xml:space="preserve">Run and test IMS application </t>
    </r>
  </si>
  <si>
    <t>User Story</t>
  </si>
  <si>
    <t>Priority</t>
  </si>
  <si>
    <t>Story Points</t>
  </si>
  <si>
    <r>
      <rPr>
        <b/>
        <sz val="12"/>
        <color theme="1"/>
        <rFont val="Calibri"/>
        <family val="2"/>
        <scheme val="minor"/>
      </rPr>
      <t>Note:</t>
    </r>
    <r>
      <rPr>
        <sz val="14"/>
        <color theme="1"/>
        <rFont val="Calibri"/>
        <family val="2"/>
        <scheme val="minor"/>
      </rPr>
      <t xml:space="preserve">
</t>
    </r>
    <r>
      <rPr>
        <sz val="10"/>
        <color theme="1"/>
        <rFont val="Calibri"/>
        <family val="2"/>
        <scheme val="minor"/>
      </rPr>
      <t>1. Enter the story points identified against each story, so that total story points will be calculated automatically.
2. Update the team size value, if it is different. So that the initial Team Velocity will be calculated automatically.
3. Based on the total Story Points and Team's Veocity, number of Sprint will be calculated automatically
4. Capture the user stories to be completed on each Sprint</t>
    </r>
  </si>
  <si>
    <t>UserStory-01</t>
  </si>
  <si>
    <t>Must Have</t>
  </si>
  <si>
    <t>UserStory-02</t>
  </si>
  <si>
    <t>UserStory-03</t>
  </si>
  <si>
    <t>Purchase Entry</t>
  </si>
  <si>
    <t>Total</t>
  </si>
  <si>
    <t>Inventory Management System - Sprint Release Plan</t>
  </si>
  <si>
    <t>Enter Team Size</t>
  </si>
  <si>
    <t>Team velocity = Total Days of App Development * Team Size * 0.6 (approximate productive time in hours)</t>
  </si>
  <si>
    <t xml:space="preserve">Number of Sprints = Total Story points / Velocity
</t>
  </si>
  <si>
    <t>Sprint 1</t>
  </si>
  <si>
    <t>Sprint 2</t>
  </si>
  <si>
    <t>Sprint 3 (If required)</t>
  </si>
  <si>
    <t>User Story Id</t>
  </si>
  <si>
    <t>Identified Tasks</t>
  </si>
  <si>
    <t>Task Id</t>
  </si>
  <si>
    <t>Owner</t>
  </si>
  <si>
    <t>Estimation - Effort and Task Completion Status</t>
  </si>
  <si>
    <t>High Level View - Task Completion Status</t>
  </si>
  <si>
    <t>Effort in hours</t>
  </si>
  <si>
    <t>To be Completed on</t>
  </si>
  <si>
    <t>Day</t>
  </si>
  <si>
    <t>No. of Tasks to be Completed</t>
  </si>
  <si>
    <t>Import the vendor service project structure provided</t>
  </si>
  <si>
    <t>Task-01</t>
  </si>
  <si>
    <t>Day 1</t>
  </si>
  <si>
    <t>Create a REST service to fetch list of vendors from DB</t>
  </si>
  <si>
    <t>Task-02</t>
  </si>
  <si>
    <t>Day 2</t>
  </si>
  <si>
    <t>Create JUnit test classes for vendor controller, service and DAO classes</t>
  </si>
  <si>
    <t>Task-03</t>
  </si>
  <si>
    <t>Day 3</t>
  </si>
  <si>
    <t>Run and test vendor application</t>
  </si>
  <si>
    <t>Task-04</t>
  </si>
  <si>
    <t>Day 4</t>
  </si>
  <si>
    <t>Import the material service project structure provided</t>
  </si>
  <si>
    <t>Task-05</t>
  </si>
  <si>
    <t>Day 5</t>
  </si>
  <si>
    <t>Create a REST service that fetches material category list from DB</t>
  </si>
  <si>
    <t>Task-06</t>
  </si>
  <si>
    <t>Create a REST service that fetches material type list for the chosen category from DB</t>
  </si>
  <si>
    <t>Task-07</t>
  </si>
  <si>
    <t>Create a REST service that fetches unit list for the chosen category from DB</t>
  </si>
  <si>
    <t>Task-08</t>
  </si>
  <si>
    <t>Create JUnit test classes for all material controllers, services and DAO classes</t>
  </si>
  <si>
    <t>Task-09</t>
  </si>
  <si>
    <t>Run and test material application</t>
  </si>
  <si>
    <t>Task-10</t>
  </si>
  <si>
    <t>Create purchase bean, vendorwise purchase report bean and purchase entity classes</t>
  </si>
  <si>
    <t>Task-11</t>
  </si>
  <si>
    <t>Create a REST client to retrieve vendor list using vendor microservice</t>
  </si>
  <si>
    <t>Task-12</t>
  </si>
  <si>
    <t>Create a REST client to retrieve material category list using material microservice</t>
  </si>
  <si>
    <t>Task-13</t>
  </si>
  <si>
    <t xml:space="preserve">Create a REST client to retrieve material type list specific to a material category using material service </t>
  </si>
  <si>
    <t>Task-14</t>
  </si>
  <si>
    <t>Create a REST client to retrieve unit list specific to a material category using material microservice</t>
  </si>
  <si>
    <t>Task-15</t>
  </si>
  <si>
    <t>Create a React application that allows users to:
View the Home Page.
Enter a Purchase Order.
View Purchase Order Success Confirmation.
Generate and display purchase reports for a selected vendor within a specified date range.
Use modern React practices, HTML5, and CSS3 for UI design.</t>
  </si>
  <si>
    <t>Task-16</t>
  </si>
  <si>
    <t>Implement validation in React components by validating mandatory fields, numeric inputs, date ranges, input formats, displaying appropriate error messages below fields, preventing form submission on validation failures, and providing visual feedback for valid/invalid inputs.</t>
  </si>
  <si>
    <t>Task-17</t>
  </si>
  <si>
    <t>Add PurchaseEntryController, ReportsController, Service and DAO classes</t>
  </si>
  <si>
    <t>Task-18</t>
  </si>
  <si>
    <t>Create JUnit test classes for all IMS controllers, services and DAO classes</t>
  </si>
  <si>
    <t>Task-19</t>
  </si>
  <si>
    <t xml:space="preserve">Run and test IMS application </t>
  </si>
  <si>
    <t>Task-20</t>
  </si>
  <si>
    <t>Total Number of Tasks</t>
  </si>
  <si>
    <t>Total Hours</t>
  </si>
  <si>
    <r>
      <t xml:space="preserve">Project Scope: </t>
    </r>
    <r>
      <rPr>
        <sz val="14"/>
        <color theme="0"/>
        <rFont val="Calibri"/>
        <family val="2"/>
        <scheme val="minor"/>
      </rPr>
      <t>Inventory Management System (IMS) should be able to fetch all the essential details by hitting vendor and material services and hold functionalities to help insert purchase details</t>
    </r>
  </si>
  <si>
    <t>Activity Details &amp; Effort Estimation</t>
  </si>
  <si>
    <t>Day of Sprint, Actual Effort &amp; Status of Activity</t>
  </si>
  <si>
    <t>Backlog Item</t>
  </si>
  <si>
    <t>UserStory Id</t>
  </si>
  <si>
    <t>Task</t>
  </si>
  <si>
    <t>Estimated Effort</t>
  </si>
  <si>
    <t>Status</t>
  </si>
  <si>
    <t>User Story 1 - build and deploy vendor application. So that all the vendor details are provided as a service</t>
  </si>
  <si>
    <t>Completed</t>
  </si>
  <si>
    <t>User Story 2 - build and deploy material application. So that all the material details are provided as a service</t>
  </si>
  <si>
    <t>User Story 3</t>
  </si>
  <si>
    <t>Tasks Completed on a day</t>
  </si>
  <si>
    <t>Hours spent on a day</t>
  </si>
  <si>
    <t>Pending</t>
  </si>
  <si>
    <r>
      <rPr>
        <b/>
        <sz val="14"/>
        <color rgb="FFFFFFFF"/>
        <rFont val="Calibri"/>
        <scheme val="minor"/>
      </rPr>
      <t xml:space="preserve">Project Scope: </t>
    </r>
    <r>
      <rPr>
        <sz val="14"/>
        <color rgb="FFFFFFFF"/>
        <rFont val="Calibri"/>
        <scheme val="minor"/>
      </rPr>
      <t>Inventory Management System (IMS) should be able to fetch all the essential details by hitting vendor and material services and hold functionalities to help insert purchase details</t>
    </r>
  </si>
  <si>
    <t>Burn Down Chart - Inventory Management System</t>
  </si>
  <si>
    <t>Total Number of Tasks - 20</t>
  </si>
  <si>
    <t>Days</t>
  </si>
  <si>
    <t>Estimated Tasks remaining</t>
  </si>
  <si>
    <t>Actual Tasks Remaining</t>
  </si>
  <si>
    <t>Day 0</t>
  </si>
  <si>
    <t>Tasks to be completed</t>
  </si>
  <si>
    <t>Actual Tasks Completed</t>
  </si>
  <si>
    <t>Kanika Baskar</t>
  </si>
  <si>
    <t>6.      Create a React application that allows users to:   A login and signup page for the application .View the Home Page. Enter a Purchase Order. View Purchase Order Success Confirmation.Generate and display purchase reports for a  selected vendor within a specified date range.Use modern React practices, HTML5, and CSS3 for UI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</si>
</sst>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b/>
      <sz val="11"/>
      <color rgb="FFFFFFFF"/>
      <name val="Calibri"/>
      <family val="2"/>
      <scheme val="minor"/>
    </font>
    <font>
      <b/>
      <sz val="25"/>
      <color theme="0"/>
      <name val="Calibri"/>
      <family val="2"/>
      <scheme val="minor"/>
    </font>
    <font>
      <b/>
      <sz val="16"/>
      <color theme="0"/>
      <name val="Calibri"/>
      <family val="2"/>
      <scheme val="minor"/>
    </font>
    <font>
      <b/>
      <sz val="14"/>
      <color theme="0"/>
      <name val="Calibri"/>
      <family val="2"/>
      <scheme val="minor"/>
    </font>
    <font>
      <sz val="14"/>
      <color theme="1"/>
      <name val="Calibri"/>
      <family val="2"/>
      <scheme val="minor"/>
    </font>
    <font>
      <sz val="14"/>
      <color theme="0"/>
      <name val="Calibri"/>
      <family val="2"/>
      <scheme val="minor"/>
    </font>
    <font>
      <sz val="8"/>
      <name val="Calibri"/>
      <family val="2"/>
      <scheme val="minor"/>
    </font>
    <font>
      <b/>
      <sz val="20"/>
      <color theme="0"/>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i/>
      <sz val="12"/>
      <color rgb="FF000000"/>
      <name val="Calibri"/>
      <family val="2"/>
      <scheme val="minor"/>
    </font>
    <font>
      <sz val="12"/>
      <color theme="1"/>
      <name val="Times New Roman"/>
      <family val="1"/>
    </font>
    <font>
      <sz val="12"/>
      <color theme="0"/>
      <name val="Calibri"/>
      <family val="2"/>
      <scheme val="minor"/>
    </font>
    <font>
      <b/>
      <sz val="12"/>
      <color theme="0"/>
      <name val="Calibri"/>
      <family val="2"/>
      <scheme val="minor"/>
    </font>
    <font>
      <sz val="10"/>
      <color theme="1"/>
      <name val="Calibri"/>
      <family val="2"/>
      <scheme val="minor"/>
    </font>
    <font>
      <b/>
      <sz val="12"/>
      <color rgb="FFFFFFFF"/>
      <name val="Calibri"/>
      <family val="2"/>
      <scheme val="minor"/>
    </font>
    <font>
      <b/>
      <sz val="14"/>
      <color rgb="FFFFFFFF"/>
      <name val="Calibri"/>
      <scheme val="minor"/>
    </font>
    <font>
      <sz val="14"/>
      <color rgb="FFFFFFFF"/>
      <name val="Calibri"/>
      <scheme val="minor"/>
    </font>
  </fonts>
  <fills count="11">
    <fill>
      <patternFill patternType="none"/>
    </fill>
    <fill>
      <patternFill patternType="gray125"/>
    </fill>
    <fill>
      <patternFill patternType="solid">
        <fgColor rgb="FF70AD47"/>
        <bgColor indexed="64"/>
      </patternFill>
    </fill>
    <fill>
      <patternFill patternType="solid">
        <fgColor rgb="FFC5E0B3"/>
        <bgColor indexed="64"/>
      </patternFill>
    </fill>
    <fill>
      <patternFill patternType="solid">
        <fgColor rgb="FFE2EFD9"/>
        <bgColor indexed="64"/>
      </patternFill>
    </fill>
    <fill>
      <patternFill patternType="solid">
        <fgColor theme="6" tint="-0.249977111117893"/>
        <bgColor theme="9"/>
      </patternFill>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499984740745262"/>
        <bgColor indexed="64"/>
      </patternFill>
    </fill>
    <fill>
      <patternFill patternType="solid">
        <fgColor theme="0"/>
        <bgColor indexed="64"/>
      </patternFill>
    </fill>
  </fills>
  <borders count="45">
    <border>
      <left/>
      <right/>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style="thin">
        <color theme="0"/>
      </left>
      <right/>
      <top/>
      <bottom style="thick">
        <color theme="0"/>
      </bottom>
      <diagonal/>
    </border>
    <border>
      <left/>
      <right/>
      <top/>
      <bottom style="thick">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diagonal/>
    </border>
    <border>
      <left style="thin">
        <color theme="0"/>
      </left>
      <right/>
      <top style="thick">
        <color theme="0"/>
      </top>
      <bottom/>
      <diagonal/>
    </border>
    <border>
      <left/>
      <right/>
      <top style="thick">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indexed="64"/>
      </left>
      <right/>
      <top style="thin">
        <color indexed="64"/>
      </top>
      <bottom style="medium">
        <color rgb="FFFFFFFF"/>
      </bottom>
      <diagonal/>
    </border>
    <border>
      <left/>
      <right/>
      <top style="thin">
        <color indexed="64"/>
      </top>
      <bottom style="medium">
        <color rgb="FFFFFFFF"/>
      </bottom>
      <diagonal/>
    </border>
    <border>
      <left/>
      <right style="thin">
        <color indexed="64"/>
      </right>
      <top style="thin">
        <color indexed="64"/>
      </top>
      <bottom style="medium">
        <color rgb="FFFFFFFF"/>
      </bottom>
      <diagonal/>
    </border>
    <border>
      <left style="medium">
        <color rgb="FFFFFFFF"/>
      </left>
      <right/>
      <top style="medium">
        <color rgb="FFFFFFFF"/>
      </top>
      <bottom/>
      <diagonal/>
    </border>
    <border>
      <left/>
      <right style="medium">
        <color rgb="FFFFFFFF"/>
      </right>
      <top/>
      <bottom/>
      <diagonal/>
    </border>
    <border>
      <left style="medium">
        <color rgb="FFFFFFFF"/>
      </left>
      <right/>
      <top/>
      <bottom/>
      <diagonal/>
    </border>
    <border>
      <left style="medium">
        <color rgb="FFFFFFFF"/>
      </left>
      <right/>
      <top/>
      <bottom style="medium">
        <color rgb="FFFFFFFF"/>
      </bottom>
      <diagonal/>
    </border>
    <border>
      <left style="thin">
        <color theme="0"/>
      </left>
      <right/>
      <top style="thick">
        <color theme="0"/>
      </top>
      <bottom style="thick">
        <color theme="0"/>
      </bottom>
      <diagonal/>
    </border>
    <border>
      <left/>
      <right/>
      <top style="thick">
        <color theme="0"/>
      </top>
      <bottom style="thick">
        <color theme="0"/>
      </bottom>
      <diagonal/>
    </border>
    <border>
      <left/>
      <right/>
      <top style="thin">
        <color theme="0"/>
      </top>
      <bottom style="thin">
        <color theme="0"/>
      </bottom>
      <diagonal/>
    </border>
    <border>
      <left/>
      <right/>
      <top style="thick">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cellStyleXfs>
  <cellXfs count="127">
    <xf numFmtId="0" fontId="0" fillId="0" borderId="0" xfId="0"/>
    <xf numFmtId="0" fontId="1" fillId="2" borderId="4" xfId="0" applyFont="1" applyFill="1" applyBorder="1" applyAlignment="1">
      <alignment horizontal="justify" vertical="center" wrapText="1"/>
    </xf>
    <xf numFmtId="0" fontId="4" fillId="6" borderId="11" xfId="0" applyFont="1" applyFill="1" applyBorder="1" applyAlignment="1">
      <alignment horizontal="center" vertical="center"/>
    </xf>
    <xf numFmtId="0" fontId="5" fillId="0" borderId="0" xfId="0" applyFont="1" applyAlignment="1">
      <alignment horizontal="center" vertical="center"/>
    </xf>
    <xf numFmtId="0" fontId="4" fillId="6" borderId="18" xfId="0" applyFont="1" applyFill="1" applyBorder="1" applyAlignment="1">
      <alignment vertical="center" wrapText="1"/>
    </xf>
    <xf numFmtId="0" fontId="5" fillId="0" borderId="0" xfId="0" applyFont="1" applyAlignment="1">
      <alignment horizontal="center" vertical="center" wrapText="1"/>
    </xf>
    <xf numFmtId="0" fontId="4" fillId="6" borderId="16" xfId="0" applyFont="1" applyFill="1" applyBorder="1" applyAlignment="1">
      <alignment horizontal="center" vertical="center" wrapText="1"/>
    </xf>
    <xf numFmtId="0" fontId="1" fillId="9" borderId="1" xfId="0" applyFont="1" applyFill="1" applyBorder="1" applyAlignment="1">
      <alignment horizontal="left" vertical="center"/>
    </xf>
    <xf numFmtId="0" fontId="1" fillId="2" borderId="1" xfId="0" applyFont="1" applyFill="1" applyBorder="1" applyAlignment="1">
      <alignment horizontal="left" vertical="center"/>
    </xf>
    <xf numFmtId="0" fontId="9" fillId="7" borderId="12" xfId="0" applyFont="1" applyFill="1" applyBorder="1" applyAlignment="1">
      <alignment horizontal="center" vertical="center"/>
    </xf>
    <xf numFmtId="0" fontId="9" fillId="8" borderId="12"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wrapText="1"/>
    </xf>
    <xf numFmtId="0" fontId="10" fillId="7" borderId="0" xfId="0" applyFont="1" applyFill="1" applyAlignment="1">
      <alignment vertical="center" wrapText="1"/>
    </xf>
    <xf numFmtId="0" fontId="16" fillId="6" borderId="16" xfId="0" applyFont="1" applyFill="1" applyBorder="1" applyAlignment="1">
      <alignment horizontal="center" vertical="center"/>
    </xf>
    <xf numFmtId="0" fontId="16" fillId="6" borderId="22" xfId="0" applyFont="1" applyFill="1" applyBorder="1" applyAlignment="1">
      <alignment horizontal="center" vertical="center"/>
    </xf>
    <xf numFmtId="0" fontId="9" fillId="7" borderId="16" xfId="0" applyFont="1" applyFill="1" applyBorder="1" applyAlignment="1">
      <alignment horizontal="center" vertical="center"/>
    </xf>
    <xf numFmtId="0" fontId="16" fillId="6" borderId="33" xfId="0" applyFont="1" applyFill="1" applyBorder="1" applyAlignment="1">
      <alignment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horizontal="left" vertical="center"/>
    </xf>
    <xf numFmtId="0" fontId="9" fillId="7" borderId="16" xfId="0" applyFont="1" applyFill="1" applyBorder="1" applyAlignment="1">
      <alignment horizontal="left" vertical="center" wrapText="1"/>
    </xf>
    <xf numFmtId="0" fontId="9" fillId="7" borderId="16" xfId="0" applyFont="1" applyFill="1" applyBorder="1" applyAlignment="1">
      <alignment horizontal="left" vertical="center"/>
    </xf>
    <xf numFmtId="0" fontId="9" fillId="8" borderId="17" xfId="0" applyFont="1" applyFill="1" applyBorder="1" applyAlignment="1">
      <alignment horizontal="left" vertical="center" wrapText="1"/>
    </xf>
    <xf numFmtId="0" fontId="9" fillId="7" borderId="43" xfId="0" applyFont="1" applyFill="1" applyBorder="1" applyAlignment="1">
      <alignment horizontal="center" vertical="center"/>
    </xf>
    <xf numFmtId="0" fontId="9" fillId="7" borderId="43" xfId="0" applyFont="1" applyFill="1" applyBorder="1" applyAlignment="1">
      <alignment horizontal="center" vertical="center" wrapText="1"/>
    </xf>
    <xf numFmtId="0" fontId="9" fillId="7" borderId="44" xfId="0" applyFont="1" applyFill="1" applyBorder="1" applyAlignment="1">
      <alignment horizontal="center" vertical="center"/>
    </xf>
    <xf numFmtId="0" fontId="9" fillId="10" borderId="0" xfId="0" applyFont="1" applyFill="1" applyAlignment="1">
      <alignment horizontal="center" vertical="center"/>
    </xf>
    <xf numFmtId="0" fontId="0" fillId="10" borderId="0" xfId="0" applyFill="1"/>
    <xf numFmtId="0" fontId="16" fillId="6" borderId="16" xfId="0" applyFont="1" applyFill="1" applyBorder="1" applyAlignment="1">
      <alignment horizontal="center" vertical="center" wrapText="1"/>
    </xf>
    <xf numFmtId="0" fontId="12" fillId="4" borderId="5" xfId="0" applyFont="1" applyFill="1" applyBorder="1" applyAlignment="1">
      <alignment horizontal="left" vertical="center" wrapText="1"/>
    </xf>
    <xf numFmtId="0" fontId="18" fillId="9" borderId="1" xfId="0" applyFont="1" applyFill="1" applyBorder="1" applyAlignment="1">
      <alignment horizontal="center" vertical="center"/>
    </xf>
    <xf numFmtId="0" fontId="11" fillId="3" borderId="5" xfId="0" applyFont="1" applyFill="1" applyBorder="1" applyAlignment="1">
      <alignment horizontal="center" vertical="center" wrapText="1"/>
    </xf>
    <xf numFmtId="0" fontId="9" fillId="7" borderId="15" xfId="0" applyFont="1" applyFill="1" applyBorder="1" applyAlignment="1">
      <alignment horizontal="center" vertical="center"/>
    </xf>
    <xf numFmtId="0" fontId="9" fillId="8" borderId="15" xfId="0" applyFont="1" applyFill="1" applyBorder="1" applyAlignment="1">
      <alignment horizontal="center" vertical="center"/>
    </xf>
    <xf numFmtId="0" fontId="8" fillId="5" borderId="8"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9" fillId="7" borderId="0" xfId="0" applyFont="1" applyFill="1" applyAlignment="1">
      <alignment vertical="center" wrapText="1"/>
    </xf>
    <xf numFmtId="0" fontId="16" fillId="6" borderId="0" xfId="0" applyFont="1" applyFill="1" applyAlignment="1">
      <alignment horizontal="center" vertical="center"/>
    </xf>
    <xf numFmtId="0" fontId="16" fillId="6" borderId="21"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8" fillId="2" borderId="1" xfId="0" applyFont="1" applyFill="1" applyBorder="1" applyAlignment="1">
      <alignment horizontal="center" vertical="center"/>
    </xf>
    <xf numFmtId="0" fontId="4" fillId="6" borderId="1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12" fillId="7" borderId="0" xfId="0" applyFont="1" applyFill="1" applyAlignment="1">
      <alignment vertical="center" wrapText="1"/>
    </xf>
    <xf numFmtId="0" fontId="1" fillId="2" borderId="26" xfId="0" applyFont="1" applyFill="1" applyBorder="1" applyAlignment="1">
      <alignment vertical="center" wrapText="1"/>
    </xf>
    <xf numFmtId="0" fontId="1" fillId="2" borderId="28" xfId="0" applyFont="1" applyFill="1" applyBorder="1" applyAlignment="1">
      <alignment vertical="center" wrapText="1"/>
    </xf>
    <xf numFmtId="0" fontId="1" fillId="2" borderId="29" xfId="0" applyFont="1" applyFill="1" applyBorder="1" applyAlignment="1">
      <alignment vertical="center" wrapText="1"/>
    </xf>
    <xf numFmtId="0" fontId="12" fillId="4" borderId="27"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 fillId="2" borderId="7" xfId="0" applyFont="1" applyFill="1" applyBorder="1" applyAlignment="1">
      <alignment vertical="center" wrapText="1"/>
    </xf>
    <xf numFmtId="0" fontId="1" fillId="2" borderId="6" xfId="0" applyFont="1" applyFill="1" applyBorder="1" applyAlignment="1">
      <alignment vertical="center" wrapText="1"/>
    </xf>
    <xf numFmtId="0" fontId="1" fillId="2" borderId="4" xfId="0" applyFont="1" applyFill="1" applyBorder="1" applyAlignment="1">
      <alignment vertical="center" wrapText="1"/>
    </xf>
    <xf numFmtId="0" fontId="12" fillId="4" borderId="6" xfId="0" applyFont="1" applyFill="1" applyBorder="1" applyAlignment="1">
      <alignment horizontal="center" vertical="top" wrapText="1"/>
    </xf>
    <xf numFmtId="0" fontId="12" fillId="4" borderId="4" xfId="0" applyFont="1" applyFill="1" applyBorder="1" applyAlignment="1">
      <alignment horizontal="center" vertical="top" wrapText="1"/>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8"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16" fillId="6" borderId="23" xfId="0" applyFont="1" applyFill="1" applyBorder="1" applyAlignment="1">
      <alignment horizontal="center" vertical="center"/>
    </xf>
    <xf numFmtId="0" fontId="16" fillId="6" borderId="24" xfId="0" applyFont="1" applyFill="1" applyBorder="1" applyAlignment="1">
      <alignment horizontal="center" vertical="center"/>
    </xf>
    <xf numFmtId="0" fontId="16" fillId="6" borderId="25" xfId="0" applyFont="1" applyFill="1" applyBorder="1" applyAlignment="1">
      <alignment horizontal="center" vertical="center"/>
    </xf>
    <xf numFmtId="0" fontId="12" fillId="4" borderId="7"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2" fillId="5" borderId="10" xfId="0" applyFont="1" applyFill="1" applyBorder="1" applyAlignment="1">
      <alignment horizontal="center" vertical="center" wrapText="1"/>
    </xf>
    <xf numFmtId="0" fontId="4" fillId="5" borderId="8"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10" xfId="0" applyFont="1" applyFill="1" applyBorder="1" applyAlignment="1">
      <alignment horizontal="left" vertical="center" wrapText="1"/>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10" xfId="0" applyFont="1" applyFill="1" applyBorder="1" applyAlignment="1">
      <alignment horizontal="center" vertical="center"/>
    </xf>
    <xf numFmtId="0" fontId="9" fillId="7" borderId="13" xfId="0" applyFont="1" applyFill="1" applyBorder="1" applyAlignment="1">
      <alignment vertical="center"/>
    </xf>
    <xf numFmtId="0" fontId="9" fillId="7" borderId="0" xfId="0" applyFont="1" applyFill="1" applyAlignment="1">
      <alignment vertical="center"/>
    </xf>
    <xf numFmtId="0" fontId="9" fillId="8" borderId="13" xfId="0" applyFont="1" applyFill="1" applyBorder="1" applyAlignment="1">
      <alignment vertical="center" wrapText="1"/>
    </xf>
    <xf numFmtId="0" fontId="9" fillId="8" borderId="0" xfId="0" applyFont="1" applyFill="1" applyAlignment="1">
      <alignment vertical="center" wrapText="1"/>
    </xf>
    <xf numFmtId="0" fontId="9" fillId="7" borderId="13" xfId="0" applyFont="1" applyFill="1" applyBorder="1" applyAlignment="1">
      <alignment vertical="center" wrapText="1"/>
    </xf>
    <xf numFmtId="0" fontId="9" fillId="7" borderId="0" xfId="0" applyFont="1" applyFill="1" applyAlignment="1">
      <alignment vertical="center" wrapText="1"/>
    </xf>
    <xf numFmtId="0" fontId="8" fillId="5" borderId="13" xfId="0" applyFont="1" applyFill="1" applyBorder="1" applyAlignment="1">
      <alignment horizontal="center" vertical="center" wrapText="1"/>
    </xf>
    <xf numFmtId="0" fontId="2" fillId="5" borderId="0" xfId="0" applyFont="1" applyFill="1" applyAlignment="1">
      <alignment horizontal="center" vertical="center" wrapText="1"/>
    </xf>
    <xf numFmtId="0" fontId="4" fillId="5" borderId="13" xfId="0" applyFont="1" applyFill="1" applyBorder="1" applyAlignment="1">
      <alignment horizontal="center" vertical="center" wrapText="1"/>
    </xf>
    <xf numFmtId="0" fontId="3" fillId="5" borderId="0" xfId="0" applyFont="1" applyFill="1" applyAlignment="1">
      <alignment horizontal="center" vertical="center" wrapText="1"/>
    </xf>
    <xf numFmtId="0" fontId="16" fillId="6" borderId="12" xfId="0" applyFont="1" applyFill="1" applyBorder="1" applyAlignment="1">
      <alignment horizontal="center" vertical="center" wrapText="1"/>
    </xf>
    <xf numFmtId="0" fontId="16" fillId="6" borderId="32"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2" xfId="0" applyFont="1" applyFill="1" applyBorder="1" applyAlignment="1">
      <alignment horizontal="right" vertical="center" wrapText="1"/>
    </xf>
    <xf numFmtId="0" fontId="16" fillId="6" borderId="32" xfId="0" applyFont="1" applyFill="1" applyBorder="1" applyAlignment="1">
      <alignment horizontal="right" vertical="center"/>
    </xf>
    <xf numFmtId="0" fontId="16" fillId="6" borderId="15" xfId="0" applyFont="1" applyFill="1" applyBorder="1" applyAlignment="1">
      <alignment horizontal="right" vertical="center"/>
    </xf>
    <xf numFmtId="0" fontId="16" fillId="6" borderId="32" xfId="0" applyFont="1" applyFill="1" applyBorder="1" applyAlignment="1">
      <alignment horizontal="center" vertical="center"/>
    </xf>
    <xf numFmtId="0" fontId="16" fillId="6" borderId="15" xfId="0" applyFont="1" applyFill="1" applyBorder="1" applyAlignment="1">
      <alignment horizontal="center" vertical="center"/>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5" fillId="0" borderId="37" xfId="0" applyFont="1" applyBorder="1" applyAlignment="1">
      <alignment horizontal="left" vertical="center" wrapText="1"/>
    </xf>
    <xf numFmtId="0" fontId="5" fillId="0" borderId="38" xfId="0" applyFont="1" applyBorder="1" applyAlignment="1">
      <alignment horizontal="left" vertical="center" wrapText="1"/>
    </xf>
    <xf numFmtId="0" fontId="5" fillId="0" borderId="39" xfId="0" applyFont="1" applyBorder="1" applyAlignment="1">
      <alignment horizontal="left" vertical="center" wrapText="1"/>
    </xf>
    <xf numFmtId="0" fontId="16" fillId="6" borderId="0" xfId="0" applyFont="1" applyFill="1" applyAlignment="1">
      <alignment horizontal="center" vertical="center"/>
    </xf>
    <xf numFmtId="0" fontId="9" fillId="7" borderId="40" xfId="0" applyFont="1" applyFill="1" applyBorder="1" applyAlignment="1">
      <alignment horizontal="center" vertical="center" wrapText="1"/>
    </xf>
    <xf numFmtId="0" fontId="9" fillId="7" borderId="41" xfId="0" applyFont="1" applyFill="1" applyBorder="1" applyAlignment="1">
      <alignment horizontal="center" vertical="center" wrapText="1"/>
    </xf>
    <xf numFmtId="0" fontId="9" fillId="7" borderId="42"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9" fillId="7" borderId="17"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1" xfId="0" applyFont="1" applyFill="1" applyBorder="1" applyAlignment="1">
      <alignment horizontal="center" vertical="center"/>
    </xf>
    <xf numFmtId="0" fontId="9" fillId="7" borderId="16" xfId="0" applyFont="1" applyFill="1" applyBorder="1" applyAlignment="1">
      <alignment horizontal="center" vertical="center" wrapText="1"/>
    </xf>
    <xf numFmtId="0" fontId="9" fillId="8" borderId="17"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9" fillId="7" borderId="16" xfId="0" applyFont="1" applyFill="1" applyBorder="1" applyAlignment="1">
      <alignment horizontal="center" vertical="top"/>
    </xf>
    <xf numFmtId="0" fontId="9" fillId="7" borderId="17" xfId="0" applyFont="1" applyFill="1" applyBorder="1" applyAlignment="1">
      <alignment horizontal="center" vertical="top"/>
    </xf>
    <xf numFmtId="0" fontId="19" fillId="5" borderId="30"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32" xfId="0" applyFont="1" applyFill="1" applyBorder="1" applyAlignment="1">
      <alignment horizontal="center" vertical="center" wrapText="1"/>
    </xf>
    <xf numFmtId="0" fontId="4" fillId="6" borderId="15" xfId="0" applyFont="1" applyFill="1" applyBorder="1" applyAlignment="1">
      <alignment horizontal="center" vertical="center" wrapText="1"/>
    </xf>
  </cellXfs>
  <cellStyles count="1">
    <cellStyle name="Normal" xfId="0" builtinId="0"/>
  </cellStyles>
  <dxfs count="22">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2"/>
        <color theme="1"/>
        <name val="Calibri"/>
        <family val="2"/>
        <scheme val="minor"/>
      </font>
      <alignment horizontal="center" vertical="center" textRotation="0" indent="0" justifyLastLine="0" shrinkToFit="0" readingOrder="0"/>
    </dxf>
    <dxf>
      <font>
        <strike val="0"/>
        <outline val="0"/>
        <shadow val="0"/>
        <u val="none"/>
        <vertAlign val="baseline"/>
        <sz val="14"/>
        <name val="Calibri"/>
        <family val="2"/>
        <scheme val="minor"/>
      </font>
      <alignment horizontal="center" vertical="center" textRotation="0" indent="0" justifyLastLine="0" shrinkToFit="0" readingOrder="0"/>
    </dxf>
    <dxf>
      <font>
        <strike val="0"/>
        <outline val="0"/>
        <shadow val="0"/>
        <u val="none"/>
        <vertAlign val="baseline"/>
        <sz val="12"/>
        <name val="Calibri"/>
        <family val="2"/>
        <scheme val="minor"/>
      </font>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fill>
        <patternFill patternType="none">
          <fgColor indexed="64"/>
          <bgColor auto="1"/>
        </patternFill>
      </fill>
      <alignment vertical="center" textRotation="0" indent="0" justifyLastLine="0" shrinkToFit="0" readingOrder="0"/>
    </dxf>
    <dxf>
      <border>
        <bottom style="thin">
          <color indexed="64"/>
        </bottom>
      </border>
    </dxf>
    <dxf>
      <font>
        <strike val="0"/>
        <outline val="0"/>
        <shadow val="0"/>
        <u val="none"/>
        <vertAlign val="baseline"/>
        <sz val="14"/>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color theme="1"/>
        <name val="Calibri"/>
        <family val="2"/>
        <scheme val="minor"/>
      </font>
      <alignment horizontal="general" vertical="center" textRotation="0" wrapText="1" indent="0" justifyLastLine="0" shrinkToFit="0" readingOrder="0"/>
    </dxf>
    <dxf>
      <font>
        <strike val="0"/>
        <outline val="0"/>
        <shadow val="0"/>
        <u val="none"/>
        <vertAlign val="baseline"/>
        <sz val="14"/>
        <color theme="1"/>
        <name val="Calibri"/>
        <family val="2"/>
        <scheme val="minor"/>
      </font>
      <border diagonalUp="0" diagonalDown="0" outline="0">
        <left style="thin">
          <color indexed="64"/>
        </left>
        <right style="thin">
          <color indexed="64"/>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33AA919B-0FB3-459F-8C86-4BB0B20C2DE6}">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a:t>
            </a:r>
            <a:r>
              <a:rPr lang="en-US" baseline="0"/>
              <a:t> Management System - Burn Down Chart</a:t>
            </a:r>
            <a:endParaRPr lang="en-US"/>
          </a:p>
        </c:rich>
      </c:tx>
      <c:layout>
        <c:manualLayout>
          <c:xMode val="edge"/>
          <c:yMode val="edge"/>
          <c:x val="0.18750540423692175"/>
          <c:y val="2.7777738332753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BurnDownChart!$C$5</c:f>
              <c:strCache>
                <c:ptCount val="1"/>
                <c:pt idx="0">
                  <c:v>Estimated Tasks remaining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BurnDownChart!$C$6:$C$11</c:f>
              <c:numCache>
                <c:formatCode>General</c:formatCode>
                <c:ptCount val="6"/>
                <c:pt idx="0">
                  <c:v>20</c:v>
                </c:pt>
                <c:pt idx="1">
                  <c:v>16</c:v>
                </c:pt>
                <c:pt idx="2">
                  <c:v>12</c:v>
                </c:pt>
                <c:pt idx="3">
                  <c:v>9</c:v>
                </c:pt>
                <c:pt idx="4">
                  <c:v>5</c:v>
                </c:pt>
                <c:pt idx="5">
                  <c:v>0</c:v>
                </c:pt>
              </c:numCache>
            </c:numRef>
          </c:val>
          <c:smooth val="0"/>
          <c:extLst>
            <c:ext xmlns:c16="http://schemas.microsoft.com/office/drawing/2014/chart" uri="{C3380CC4-5D6E-409C-BE32-E72D297353CC}">
              <c16:uniqueId val="{00000000-DDDF-40C1-BF1C-D2F9147B2802}"/>
            </c:ext>
          </c:extLst>
        </c:ser>
        <c:ser>
          <c:idx val="1"/>
          <c:order val="1"/>
          <c:tx>
            <c:strRef>
              <c:f>BurnDownChart!$D$5</c:f>
              <c:strCache>
                <c:ptCount val="1"/>
                <c:pt idx="0">
                  <c:v>Actual Tasks Remaining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BurnDownChart!$B$6:$B$11</c:f>
              <c:strCache>
                <c:ptCount val="6"/>
                <c:pt idx="0">
                  <c:v>Day 0</c:v>
                </c:pt>
                <c:pt idx="1">
                  <c:v>Day 1</c:v>
                </c:pt>
                <c:pt idx="2">
                  <c:v>Day 2</c:v>
                </c:pt>
                <c:pt idx="3">
                  <c:v>Day 3</c:v>
                </c:pt>
                <c:pt idx="4">
                  <c:v>Day 4</c:v>
                </c:pt>
                <c:pt idx="5">
                  <c:v>Day 5</c:v>
                </c:pt>
              </c:strCache>
            </c:strRef>
          </c:cat>
          <c:val>
            <c:numRef>
              <c:f>BurnDownChart!$D$6:$D$11</c:f>
              <c:numCache>
                <c:formatCode>General</c:formatCode>
                <c:ptCount val="6"/>
                <c:pt idx="0">
                  <c:v>20</c:v>
                </c:pt>
                <c:pt idx="1">
                  <c:v>16</c:v>
                </c:pt>
                <c:pt idx="2">
                  <c:v>11</c:v>
                </c:pt>
                <c:pt idx="3">
                  <c:v>7</c:v>
                </c:pt>
                <c:pt idx="4">
                  <c:v>4</c:v>
                </c:pt>
                <c:pt idx="5">
                  <c:v>0</c:v>
                </c:pt>
              </c:numCache>
            </c:numRef>
          </c:val>
          <c:smooth val="0"/>
          <c:extLst>
            <c:ext xmlns:c16="http://schemas.microsoft.com/office/drawing/2014/chart" uri="{C3380CC4-5D6E-409C-BE32-E72D297353CC}">
              <c16:uniqueId val="{00000001-DDDF-40C1-BF1C-D2F9147B2802}"/>
            </c:ext>
          </c:extLst>
        </c:ser>
        <c:dLbls>
          <c:showLegendKey val="0"/>
          <c:showVal val="0"/>
          <c:showCatName val="0"/>
          <c:showSerName val="0"/>
          <c:showPercent val="0"/>
          <c:showBubbleSize val="0"/>
        </c:dLbls>
        <c:marker val="1"/>
        <c:smooth val="0"/>
        <c:axId val="316853503"/>
        <c:axId val="837017199"/>
      </c:lineChart>
      <c:catAx>
        <c:axId val="3168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017199"/>
        <c:crosses val="autoZero"/>
        <c:auto val="1"/>
        <c:lblAlgn val="ctr"/>
        <c:lblOffset val="100"/>
        <c:noMultiLvlLbl val="0"/>
      </c:catAx>
      <c:valAx>
        <c:axId val="83701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5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306705</xdr:colOff>
      <xdr:row>2</xdr:row>
      <xdr:rowOff>62865</xdr:rowOff>
    </xdr:from>
    <xdr:to>
      <xdr:col>16</xdr:col>
      <xdr:colOff>169545</xdr:colOff>
      <xdr:row>18</xdr:row>
      <xdr:rowOff>20955</xdr:rowOff>
    </xdr:to>
    <xdr:graphicFrame macro="">
      <xdr:nvGraphicFramePr>
        <xdr:cNvPr id="5" name="Chart 2">
          <a:extLst>
            <a:ext uri="{FF2B5EF4-FFF2-40B4-BE49-F238E27FC236}">
              <a16:creationId xmlns:a16="http://schemas.microsoft.com/office/drawing/2014/main" id="{A751DF6C-299E-4F18-9558-B95D5CFB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E51E93-B6B4-4B62-91DB-87B3D44B798C}" name="Table3" displayName="Table3" ref="A8:D11" totalsRowShown="0" headerRowDxfId="19" dataDxfId="18">
  <tableColumns count="4">
    <tableColumn id="1" xr3:uid="{FDBCC03C-15D5-43E2-97D3-A363168906D8}" name="No" dataDxfId="17"/>
    <tableColumn id="2" xr3:uid="{B6BF12E7-40A3-435A-A3D3-CA4A7B1FFF57}" name="Product Backlog Items" dataDxfId="16"/>
    <tableColumn id="3" xr3:uid="{6F20B80D-7058-4352-94A3-8D6AF75026E1}" name="User Story Title" dataDxfId="15"/>
    <tableColumn id="4" xr3:uid="{3722185B-CE37-4C3B-A5F4-C2DE716BC59B}" name="Requirement Description" dataDxfId="1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44420C-77FC-43FF-A22A-DBE1C2F44AB2}" name="Table5" displayName="Table5" ref="A3:D6" totalsRowShown="0" headerRowDxfId="13" dataDxfId="11" headerRowBorderDxfId="12" tableBorderDxfId="10" totalsRowBorderDxfId="9">
  <tableColumns count="4">
    <tableColumn id="1" xr3:uid="{F7DA629A-C4C9-4C32-A5A5-837664B7407E}" name="User Story" dataDxfId="8"/>
    <tableColumn id="3" xr3:uid="{E4D5A616-BBA4-48AD-8659-1B6E26C9CD8B}" name="User Story Title" dataDxfId="7"/>
    <tableColumn id="2" xr3:uid="{4EBBA67E-92AC-4EBD-8CB7-8DB244424038}" name="Priority" dataDxfId="6"/>
    <tableColumn id="4" xr3:uid="{04E9DB2E-2E8C-48A5-9117-0F5AA6C1983A}" name="Story Points" dataDxfId="5"/>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9652BD-F8B7-42AC-81C6-FEF78D5DBED8}" name="Table1" displayName="Table1" ref="B5:D11" totalsRowShown="0" headerRowDxfId="4" dataDxfId="3">
  <tableColumns count="3">
    <tableColumn id="1" xr3:uid="{DB835B95-24F0-4767-8F21-BCA7565C00AB}" name="Days" dataDxfId="2"/>
    <tableColumn id="2" xr3:uid="{4A8D0219-F55D-4CD3-80E8-A7F142B3A903}" name="Estimated Tasks remaining" dataDxfId="1">
      <calculatedColumnFormula>ActivityEffortEstimation!D25</calculatedColumnFormula>
    </tableColumn>
    <tableColumn id="3" xr3:uid="{AE812915-854E-4B7B-8D6E-01EE270B93F7}" name="Actual Tasks Remaining" dataDxfId="0">
      <calculatedColumnFormula>ActivityEffortEstimation!D25</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38C8-148D-4EBB-AF89-CBBF77CBEE96}">
  <dimension ref="A1:D23"/>
  <sheetViews>
    <sheetView tabSelected="1" topLeftCell="A9" workbookViewId="0">
      <selection activeCell="C10" sqref="C10"/>
    </sheetView>
  </sheetViews>
  <sheetFormatPr defaultRowHeight="14.4" x14ac:dyDescent="0.3"/>
  <cols>
    <col min="2" max="2" width="49.21875" customWidth="1"/>
    <col min="3" max="3" width="35.5546875" customWidth="1"/>
    <col min="4" max="4" width="108.44140625" customWidth="1"/>
  </cols>
  <sheetData>
    <row r="1" spans="1:4" ht="39" customHeight="1" thickBot="1" x14ac:dyDescent="0.35">
      <c r="A1" s="61" t="s">
        <v>0</v>
      </c>
      <c r="B1" s="62"/>
      <c r="C1" s="62"/>
      <c r="D1" s="73"/>
    </row>
    <row r="2" spans="1:4" ht="47.55" customHeight="1" thickTop="1" thickBot="1" x14ac:dyDescent="0.35">
      <c r="A2" s="74" t="s">
        <v>1</v>
      </c>
      <c r="B2" s="75"/>
      <c r="C2" s="75"/>
      <c r="D2" s="76"/>
    </row>
    <row r="3" spans="1:4" ht="30" customHeight="1" thickTop="1" thickBot="1" x14ac:dyDescent="0.35">
      <c r="A3" s="2" t="s">
        <v>2</v>
      </c>
      <c r="B3" s="77" t="s">
        <v>3</v>
      </c>
      <c r="C3" s="78"/>
      <c r="D3" s="79"/>
    </row>
    <row r="4" spans="1:4" ht="18" customHeight="1" thickTop="1" x14ac:dyDescent="0.3">
      <c r="A4" s="9">
        <v>1</v>
      </c>
      <c r="B4" s="80" t="s">
        <v>4</v>
      </c>
      <c r="C4" s="81"/>
      <c r="D4" s="81"/>
    </row>
    <row r="5" spans="1:4" ht="18" customHeight="1" x14ac:dyDescent="0.3">
      <c r="A5" s="10">
        <v>2</v>
      </c>
      <c r="B5" s="82" t="s">
        <v>5</v>
      </c>
      <c r="C5" s="83"/>
      <c r="D5" s="83"/>
    </row>
    <row r="6" spans="1:4" ht="18" customHeight="1" x14ac:dyDescent="0.3">
      <c r="A6" s="11">
        <v>3</v>
      </c>
      <c r="B6" s="84" t="s">
        <v>6</v>
      </c>
      <c r="C6" s="85"/>
      <c r="D6" s="85"/>
    </row>
    <row r="7" spans="1:4" ht="30" customHeight="1" thickBot="1" x14ac:dyDescent="0.35">
      <c r="A7" s="71" t="s">
        <v>7</v>
      </c>
      <c r="B7" s="72"/>
      <c r="C7" s="72"/>
      <c r="D7" s="72"/>
    </row>
    <row r="8" spans="1:4" ht="30" customHeight="1" thickTop="1" x14ac:dyDescent="0.3">
      <c r="A8" s="3" t="s">
        <v>2</v>
      </c>
      <c r="B8" s="3" t="s">
        <v>3</v>
      </c>
      <c r="C8" s="3" t="s">
        <v>8</v>
      </c>
      <c r="D8" s="3" t="s">
        <v>9</v>
      </c>
    </row>
    <row r="9" spans="1:4" ht="36" customHeight="1" x14ac:dyDescent="0.3">
      <c r="A9" s="12">
        <v>1</v>
      </c>
      <c r="B9" s="13" t="s">
        <v>4</v>
      </c>
      <c r="C9" s="13" t="s">
        <v>10</v>
      </c>
      <c r="D9" s="13" t="s">
        <v>11</v>
      </c>
    </row>
    <row r="10" spans="1:4" ht="36" customHeight="1" x14ac:dyDescent="0.3">
      <c r="A10" s="12">
        <v>2</v>
      </c>
      <c r="B10" s="13" t="s">
        <v>12</v>
      </c>
      <c r="C10" s="13" t="s">
        <v>13</v>
      </c>
      <c r="D10" s="13" t="s">
        <v>14</v>
      </c>
    </row>
    <row r="11" spans="1:4" ht="62.4" x14ac:dyDescent="0.3">
      <c r="A11" s="12">
        <v>3</v>
      </c>
      <c r="B11" s="13" t="s">
        <v>15</v>
      </c>
      <c r="C11" s="13" t="s">
        <v>16</v>
      </c>
      <c r="D11" s="13" t="s">
        <v>17</v>
      </c>
    </row>
    <row r="12" spans="1:4" ht="30" customHeight="1" x14ac:dyDescent="0.3"/>
    <row r="13" spans="1:4" ht="30" customHeight="1" x14ac:dyDescent="0.3"/>
    <row r="14" spans="1:4" ht="30" customHeight="1" x14ac:dyDescent="0.3"/>
    <row r="15" spans="1:4" ht="30" customHeight="1" x14ac:dyDescent="0.3"/>
    <row r="16" spans="1:4" ht="30" customHeight="1" x14ac:dyDescent="0.3"/>
    <row r="17" ht="30" customHeight="1" x14ac:dyDescent="0.3"/>
    <row r="18" ht="30" customHeight="1" x14ac:dyDescent="0.3"/>
    <row r="19" ht="30" customHeight="1" x14ac:dyDescent="0.3"/>
    <row r="20" ht="30" customHeight="1" x14ac:dyDescent="0.3"/>
    <row r="21" ht="30" customHeight="1" x14ac:dyDescent="0.3"/>
    <row r="22" ht="30" customHeight="1" x14ac:dyDescent="0.3"/>
    <row r="23" ht="30" customHeight="1" x14ac:dyDescent="0.3"/>
  </sheetData>
  <mergeCells count="7">
    <mergeCell ref="A7:D7"/>
    <mergeCell ref="A1:D1"/>
    <mergeCell ref="A2:D2"/>
    <mergeCell ref="B3:D3"/>
    <mergeCell ref="B4:D4"/>
    <mergeCell ref="B5:D5"/>
    <mergeCell ref="B6:D6"/>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99E8F-FCC0-408B-8CED-EBD0093B8043}">
  <dimension ref="A1:A34"/>
  <sheetViews>
    <sheetView topLeftCell="A17" workbookViewId="0">
      <selection activeCell="A30" sqref="A30"/>
    </sheetView>
  </sheetViews>
  <sheetFormatPr defaultRowHeight="14.4" x14ac:dyDescent="0.3"/>
  <cols>
    <col min="1" max="1" width="206.5546875" customWidth="1"/>
  </cols>
  <sheetData>
    <row r="1" spans="1:1" ht="26.4" thickBot="1" x14ac:dyDescent="0.35">
      <c r="A1" s="36" t="s">
        <v>0</v>
      </c>
    </row>
    <row r="2" spans="1:1" ht="19.2" thickTop="1" thickBot="1" x14ac:dyDescent="0.35">
      <c r="A2" s="37" t="s">
        <v>1</v>
      </c>
    </row>
    <row r="3" spans="1:1" ht="34.200000000000003" thickTop="1" x14ac:dyDescent="0.3">
      <c r="A3" s="4" t="s">
        <v>18</v>
      </c>
    </row>
    <row r="4" spans="1:1" ht="15.6" x14ac:dyDescent="0.3">
      <c r="A4" s="14" t="s">
        <v>19</v>
      </c>
    </row>
    <row r="5" spans="1:1" ht="15.6" x14ac:dyDescent="0.3">
      <c r="A5" s="38" t="s">
        <v>20</v>
      </c>
    </row>
    <row r="6" spans="1:1" ht="14.55" customHeight="1" x14ac:dyDescent="0.3">
      <c r="A6" s="14" t="s">
        <v>21</v>
      </c>
    </row>
    <row r="7" spans="1:1" ht="15.6" x14ac:dyDescent="0.3">
      <c r="A7" s="38" t="s">
        <v>22</v>
      </c>
    </row>
    <row r="8" spans="1:1" ht="15.6" x14ac:dyDescent="0.3">
      <c r="A8" s="38" t="s">
        <v>23</v>
      </c>
    </row>
    <row r="9" spans="1:1" ht="15.6" x14ac:dyDescent="0.3">
      <c r="A9" s="38" t="s">
        <v>24</v>
      </c>
    </row>
    <row r="10" spans="1:1" ht="15.6" x14ac:dyDescent="0.3">
      <c r="A10" s="38" t="s">
        <v>25</v>
      </c>
    </row>
    <row r="11" spans="1:1" ht="33.6" x14ac:dyDescent="0.3">
      <c r="A11" s="4" t="s">
        <v>26</v>
      </c>
    </row>
    <row r="12" spans="1:1" ht="15.6" x14ac:dyDescent="0.3">
      <c r="A12" s="14" t="s">
        <v>27</v>
      </c>
    </row>
    <row r="13" spans="1:1" ht="15.6" x14ac:dyDescent="0.3">
      <c r="A13" s="38" t="s">
        <v>28</v>
      </c>
    </row>
    <row r="14" spans="1:1" ht="15.6" x14ac:dyDescent="0.3">
      <c r="A14" s="14" t="s">
        <v>21</v>
      </c>
    </row>
    <row r="15" spans="1:1" ht="15.6" x14ac:dyDescent="0.3">
      <c r="A15" s="38" t="s">
        <v>29</v>
      </c>
    </row>
    <row r="16" spans="1:1" ht="15.6" x14ac:dyDescent="0.3">
      <c r="A16" s="38" t="s">
        <v>30</v>
      </c>
    </row>
    <row r="17" spans="1:1" ht="15.6" x14ac:dyDescent="0.3">
      <c r="A17" s="38" t="s">
        <v>31</v>
      </c>
    </row>
    <row r="18" spans="1:1" ht="15.6" x14ac:dyDescent="0.3">
      <c r="A18" s="38" t="s">
        <v>32</v>
      </c>
    </row>
    <row r="19" spans="1:1" ht="15.6" x14ac:dyDescent="0.3">
      <c r="A19" s="38" t="s">
        <v>33</v>
      </c>
    </row>
    <row r="20" spans="1:1" ht="15.6" x14ac:dyDescent="0.3">
      <c r="A20" s="38" t="s">
        <v>34</v>
      </c>
    </row>
    <row r="21" spans="1:1" ht="33.6" x14ac:dyDescent="0.3">
      <c r="A21" s="4" t="s">
        <v>35</v>
      </c>
    </row>
    <row r="22" spans="1:1" ht="15.6" x14ac:dyDescent="0.3">
      <c r="A22" s="14" t="s">
        <v>36</v>
      </c>
    </row>
    <row r="23" spans="1:1" ht="31.2" x14ac:dyDescent="0.3">
      <c r="A23" s="38" t="s">
        <v>37</v>
      </c>
    </row>
    <row r="24" spans="1:1" ht="15.6" x14ac:dyDescent="0.3">
      <c r="A24" s="14" t="s">
        <v>21</v>
      </c>
    </row>
    <row r="25" spans="1:1" ht="15.6" x14ac:dyDescent="0.3">
      <c r="A25" s="38" t="s">
        <v>38</v>
      </c>
    </row>
    <row r="26" spans="1:1" ht="15.6" x14ac:dyDescent="0.3">
      <c r="A26" s="38" t="s">
        <v>39</v>
      </c>
    </row>
    <row r="27" spans="1:1" ht="15.6" x14ac:dyDescent="0.3">
      <c r="A27" s="38" t="s">
        <v>40</v>
      </c>
    </row>
    <row r="28" spans="1:1" ht="15.6" x14ac:dyDescent="0.3">
      <c r="A28" s="38" t="s">
        <v>41</v>
      </c>
    </row>
    <row r="29" spans="1:1" ht="15.6" x14ac:dyDescent="0.3">
      <c r="A29" s="38" t="s">
        <v>42</v>
      </c>
    </row>
    <row r="30" spans="1:1" ht="31.2" x14ac:dyDescent="0.3">
      <c r="A30" s="47" t="s">
        <v>146</v>
      </c>
    </row>
    <row r="31" spans="1:1" ht="15.6" x14ac:dyDescent="0.3">
      <c r="A31" s="38" t="s">
        <v>43</v>
      </c>
    </row>
    <row r="32" spans="1:1" ht="15.6" x14ac:dyDescent="0.3">
      <c r="A32" s="38" t="s">
        <v>44</v>
      </c>
    </row>
    <row r="33" spans="1:1" ht="15.6" x14ac:dyDescent="0.3">
      <c r="A33" s="38" t="s">
        <v>45</v>
      </c>
    </row>
    <row r="34" spans="1:1" ht="15.6" x14ac:dyDescent="0.3">
      <c r="A34" s="38" t="s">
        <v>46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5317-0CBD-44A1-BE9B-52CF08BD32E0}">
  <dimension ref="A1:F14"/>
  <sheetViews>
    <sheetView showGridLines="0" topLeftCell="A3" zoomScale="99" zoomScaleNormal="99" workbookViewId="0">
      <selection activeCell="D10" sqref="D10:F10"/>
    </sheetView>
  </sheetViews>
  <sheetFormatPr defaultRowHeight="14.4" x14ac:dyDescent="0.3"/>
  <cols>
    <col min="1" max="6" width="33.77734375" customWidth="1"/>
    <col min="10" max="10" width="11.77734375" bestFit="1" customWidth="1"/>
  </cols>
  <sheetData>
    <row r="1" spans="1:6" ht="28.95" customHeight="1" x14ac:dyDescent="0.3">
      <c r="A1" s="86" t="s">
        <v>0</v>
      </c>
      <c r="B1" s="87"/>
      <c r="C1" s="87"/>
      <c r="D1" s="87"/>
      <c r="E1" s="87"/>
      <c r="F1" s="87"/>
    </row>
    <row r="2" spans="1:6" ht="30.6" customHeight="1" x14ac:dyDescent="0.3">
      <c r="A2" s="88" t="s">
        <v>1</v>
      </c>
      <c r="B2" s="89"/>
      <c r="C2" s="89"/>
      <c r="D2" s="89"/>
      <c r="E2" s="89"/>
      <c r="F2" s="89"/>
    </row>
    <row r="3" spans="1:6" ht="30" customHeight="1" x14ac:dyDescent="0.3">
      <c r="A3" s="3" t="s">
        <v>47</v>
      </c>
      <c r="B3" s="5" t="s">
        <v>8</v>
      </c>
      <c r="C3" s="5" t="s">
        <v>48</v>
      </c>
      <c r="D3" s="5" t="s">
        <v>49</v>
      </c>
      <c r="E3" s="98" t="s">
        <v>50</v>
      </c>
      <c r="F3" s="99"/>
    </row>
    <row r="4" spans="1:6" ht="26.55" customHeight="1" x14ac:dyDescent="0.3">
      <c r="A4" s="12" t="s">
        <v>51</v>
      </c>
      <c r="B4" s="19" t="s">
        <v>10</v>
      </c>
      <c r="C4" s="20" t="s">
        <v>52</v>
      </c>
      <c r="D4" s="20">
        <v>5</v>
      </c>
      <c r="E4" s="100"/>
      <c r="F4" s="101"/>
    </row>
    <row r="5" spans="1:6" ht="26.55" customHeight="1" x14ac:dyDescent="0.3">
      <c r="A5" s="12" t="s">
        <v>53</v>
      </c>
      <c r="B5" s="21" t="s">
        <v>13</v>
      </c>
      <c r="C5" s="12" t="s">
        <v>52</v>
      </c>
      <c r="D5" s="12">
        <v>5</v>
      </c>
      <c r="E5" s="100"/>
      <c r="F5" s="101"/>
    </row>
    <row r="6" spans="1:6" ht="27" customHeight="1" x14ac:dyDescent="0.3">
      <c r="A6" s="12" t="s">
        <v>54</v>
      </c>
      <c r="B6" s="19" t="s">
        <v>55</v>
      </c>
      <c r="C6" s="20" t="s">
        <v>52</v>
      </c>
      <c r="D6" s="20">
        <v>8</v>
      </c>
      <c r="E6" s="100"/>
      <c r="F6" s="101"/>
    </row>
    <row r="7" spans="1:6" ht="24.6" customHeight="1" x14ac:dyDescent="0.3">
      <c r="A7" s="104" t="s">
        <v>56</v>
      </c>
      <c r="B7" s="104"/>
      <c r="C7" s="104"/>
      <c r="D7" s="39">
        <f>SUM(Table5[Story Points])</f>
        <v>18</v>
      </c>
      <c r="E7" s="102"/>
      <c r="F7" s="103"/>
    </row>
    <row r="8" spans="1:6" ht="30" customHeight="1" thickBot="1" x14ac:dyDescent="0.35">
      <c r="A8" s="88" t="s">
        <v>57</v>
      </c>
      <c r="B8" s="89"/>
      <c r="C8" s="89"/>
      <c r="D8" s="89"/>
      <c r="E8" s="89"/>
      <c r="F8" s="89"/>
    </row>
    <row r="9" spans="1:6" ht="25.95" customHeight="1" thickTop="1" x14ac:dyDescent="0.3">
      <c r="A9" s="18" t="s">
        <v>58</v>
      </c>
      <c r="B9" s="15">
        <v>1</v>
      </c>
      <c r="C9" s="90" t="s">
        <v>59</v>
      </c>
      <c r="D9" s="91"/>
      <c r="E9" s="92"/>
      <c r="F9" s="15">
        <f>5*B9*0.6</f>
        <v>3</v>
      </c>
    </row>
    <row r="10" spans="1:6" ht="24.6" customHeight="1" x14ac:dyDescent="0.3">
      <c r="A10" s="93" t="s">
        <v>60</v>
      </c>
      <c r="B10" s="94"/>
      <c r="C10" s="95"/>
      <c r="D10" s="96">
        <f>D7/F9</f>
        <v>6</v>
      </c>
      <c r="E10" s="96"/>
      <c r="F10" s="97"/>
    </row>
    <row r="11" spans="1:6" ht="30" customHeight="1" x14ac:dyDescent="0.3">
      <c r="A11" s="15" t="s">
        <v>61</v>
      </c>
      <c r="B11" s="15" t="s">
        <v>49</v>
      </c>
      <c r="C11" s="15" t="s">
        <v>62</v>
      </c>
      <c r="D11" s="15" t="s">
        <v>49</v>
      </c>
      <c r="E11" s="16" t="s">
        <v>63</v>
      </c>
      <c r="F11" s="16" t="s">
        <v>49</v>
      </c>
    </row>
    <row r="12" spans="1:6" ht="22.2" customHeight="1" x14ac:dyDescent="0.3">
      <c r="A12" s="17" t="s">
        <v>51</v>
      </c>
      <c r="B12" s="41">
        <v>5</v>
      </c>
      <c r="C12" s="41" t="s">
        <v>54</v>
      </c>
      <c r="D12" s="41">
        <v>8</v>
      </c>
      <c r="E12" s="41"/>
      <c r="F12" s="41">
        <v>0</v>
      </c>
    </row>
    <row r="13" spans="1:6" ht="17.55" customHeight="1" x14ac:dyDescent="0.3">
      <c r="A13" s="17" t="s">
        <v>53</v>
      </c>
      <c r="B13" s="41">
        <v>5</v>
      </c>
      <c r="C13" s="41" t="s">
        <v>53</v>
      </c>
      <c r="D13" s="41">
        <v>0</v>
      </c>
      <c r="E13" s="41"/>
      <c r="F13" s="41">
        <v>0</v>
      </c>
    </row>
    <row r="14" spans="1:6" ht="24" customHeight="1" x14ac:dyDescent="0.3">
      <c r="A14" s="15" t="s">
        <v>56</v>
      </c>
      <c r="B14" s="15">
        <f>SUM(B12:B13)</f>
        <v>10</v>
      </c>
      <c r="C14" s="15" t="s">
        <v>56</v>
      </c>
      <c r="D14" s="15">
        <f>SUM(D12:D13)</f>
        <v>8</v>
      </c>
      <c r="E14" s="15" t="s">
        <v>56</v>
      </c>
      <c r="F14" s="15">
        <f>SUM(F12:F13)</f>
        <v>0</v>
      </c>
    </row>
  </sheetData>
  <mergeCells count="8">
    <mergeCell ref="A1:F1"/>
    <mergeCell ref="A2:F2"/>
    <mergeCell ref="A8:F8"/>
    <mergeCell ref="C9:E9"/>
    <mergeCell ref="A10:C10"/>
    <mergeCell ref="D10:F10"/>
    <mergeCell ref="E3:F7"/>
    <mergeCell ref="A7:C7"/>
  </mergeCells>
  <phoneticPr fontId="7" type="noConversion"/>
  <dataValidations count="1">
    <dataValidation type="list" allowBlank="1" showInputMessage="1" showErrorMessage="1" sqref="A12:A13 C12:C13 E12:E13" xr:uid="{42EAD002-933E-4197-A92D-7B008ED2FFDD}">
      <formula1>$A$4:$A$6</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7529-4400-4540-AB3A-CC83C8BA4CCE}">
  <dimension ref="A1:W60"/>
  <sheetViews>
    <sheetView topLeftCell="A3" zoomScale="70" zoomScaleNormal="70" workbookViewId="0">
      <selection activeCell="F36" sqref="F36"/>
    </sheetView>
  </sheetViews>
  <sheetFormatPr defaultRowHeight="15" customHeight="1" x14ac:dyDescent="0.3"/>
  <cols>
    <col min="1" max="1" width="15.21875" customWidth="1"/>
    <col min="2" max="2" width="18.77734375" customWidth="1"/>
    <col min="3" max="3" width="94.77734375" customWidth="1"/>
    <col min="4" max="4" width="10" customWidth="1"/>
    <col min="5" max="5" width="17.21875" customWidth="1"/>
    <col min="6" max="6" width="10" customWidth="1"/>
    <col min="7" max="7" width="14.77734375" customWidth="1"/>
    <col min="8" max="8" width="9.77734375" customWidth="1"/>
    <col min="9" max="9" width="19.77734375" customWidth="1"/>
  </cols>
  <sheetData>
    <row r="1" spans="1:23" ht="30.6" customHeight="1" thickBot="1" x14ac:dyDescent="0.35">
      <c r="A1" s="61" t="s">
        <v>0</v>
      </c>
      <c r="B1" s="62"/>
      <c r="C1" s="62"/>
      <c r="D1" s="62"/>
      <c r="E1" s="62"/>
      <c r="F1" s="62"/>
      <c r="G1" s="62"/>
      <c r="H1" s="62"/>
      <c r="I1" s="62"/>
      <c r="J1" s="29"/>
      <c r="K1" s="29"/>
    </row>
    <row r="2" spans="1:23" ht="28.2" customHeight="1" thickTop="1" x14ac:dyDescent="0.3">
      <c r="A2" s="108" t="s">
        <v>1</v>
      </c>
      <c r="B2" s="109"/>
      <c r="C2" s="109"/>
      <c r="D2" s="109"/>
      <c r="E2" s="109"/>
      <c r="F2" s="109"/>
      <c r="G2" s="109"/>
      <c r="H2" s="109"/>
      <c r="I2" s="109"/>
      <c r="J2" s="29"/>
      <c r="K2" s="29"/>
    </row>
    <row r="3" spans="1:23" ht="34.200000000000003" customHeight="1" x14ac:dyDescent="0.3">
      <c r="A3" s="110" t="s">
        <v>64</v>
      </c>
      <c r="B3" s="110" t="s">
        <v>8</v>
      </c>
      <c r="C3" s="110" t="s">
        <v>65</v>
      </c>
      <c r="D3" s="110" t="s">
        <v>66</v>
      </c>
      <c r="E3" s="110" t="s">
        <v>67</v>
      </c>
      <c r="F3" s="90" t="s">
        <v>68</v>
      </c>
      <c r="G3" s="92"/>
      <c r="H3" s="90" t="s">
        <v>69</v>
      </c>
      <c r="I3" s="92"/>
      <c r="J3" s="29"/>
      <c r="K3" s="29"/>
    </row>
    <row r="4" spans="1:23" ht="30.6" customHeight="1" x14ac:dyDescent="0.3">
      <c r="A4" s="111"/>
      <c r="B4" s="111"/>
      <c r="C4" s="111"/>
      <c r="D4" s="111"/>
      <c r="E4" s="111"/>
      <c r="F4" s="40" t="s">
        <v>70</v>
      </c>
      <c r="G4" s="40" t="s">
        <v>71</v>
      </c>
      <c r="H4" s="30" t="s">
        <v>72</v>
      </c>
      <c r="I4" s="30" t="s">
        <v>73</v>
      </c>
      <c r="J4" s="29"/>
      <c r="K4" s="29"/>
    </row>
    <row r="5" spans="1:23" ht="15.6" x14ac:dyDescent="0.3">
      <c r="A5" s="112" t="s">
        <v>51</v>
      </c>
      <c r="B5" s="115" t="s">
        <v>10</v>
      </c>
      <c r="C5" s="22" t="s">
        <v>74</v>
      </c>
      <c r="D5" s="17" t="s">
        <v>75</v>
      </c>
      <c r="E5" s="23" t="s">
        <v>145</v>
      </c>
      <c r="F5" s="17">
        <v>1</v>
      </c>
      <c r="G5" s="17" t="s">
        <v>76</v>
      </c>
      <c r="H5" s="17" t="s">
        <v>76</v>
      </c>
      <c r="I5" s="17">
        <f>COUNTIF(G5:G24,"Day 1")</f>
        <v>4</v>
      </c>
      <c r="J5" s="29"/>
      <c r="K5" s="29"/>
    </row>
    <row r="6" spans="1:23" ht="15.6" x14ac:dyDescent="0.3">
      <c r="A6" s="113"/>
      <c r="B6" s="115"/>
      <c r="C6" s="24" t="s">
        <v>77</v>
      </c>
      <c r="D6" s="42" t="s">
        <v>78</v>
      </c>
      <c r="E6" s="23" t="s">
        <v>145</v>
      </c>
      <c r="F6" s="42">
        <v>1</v>
      </c>
      <c r="G6" s="42" t="s">
        <v>76</v>
      </c>
      <c r="H6" s="42" t="s">
        <v>79</v>
      </c>
      <c r="I6" s="42">
        <f>COUNTIF(G6:G25,"Day 2")</f>
        <v>4</v>
      </c>
      <c r="J6" s="29"/>
      <c r="K6" s="29"/>
    </row>
    <row r="7" spans="1:23" ht="15.6" x14ac:dyDescent="0.3">
      <c r="A7" s="113"/>
      <c r="B7" s="115"/>
      <c r="C7" s="22" t="s">
        <v>80</v>
      </c>
      <c r="D7" s="17" t="s">
        <v>81</v>
      </c>
      <c r="E7" s="23" t="s">
        <v>145</v>
      </c>
      <c r="F7" s="17">
        <v>4</v>
      </c>
      <c r="G7" s="17" t="s">
        <v>76</v>
      </c>
      <c r="H7" s="17" t="s">
        <v>82</v>
      </c>
      <c r="I7" s="17">
        <f>COUNTIF(G7:G26,"Day 3")</f>
        <v>3</v>
      </c>
      <c r="J7" s="29"/>
      <c r="K7" s="29"/>
    </row>
    <row r="8" spans="1:23" ht="15.6" x14ac:dyDescent="0.3">
      <c r="A8" s="114"/>
      <c r="B8" s="115"/>
      <c r="C8" s="24" t="s">
        <v>83</v>
      </c>
      <c r="D8" s="42" t="s">
        <v>84</v>
      </c>
      <c r="E8" s="23" t="s">
        <v>145</v>
      </c>
      <c r="F8" s="42">
        <v>1</v>
      </c>
      <c r="G8" s="42" t="s">
        <v>76</v>
      </c>
      <c r="H8" s="42" t="s">
        <v>85</v>
      </c>
      <c r="I8" s="42">
        <f>COUNTIF(G8:G27,"Day 4")</f>
        <v>4</v>
      </c>
      <c r="J8" s="29"/>
      <c r="K8" s="29"/>
    </row>
    <row r="9" spans="1:23" ht="15.6" x14ac:dyDescent="0.3">
      <c r="A9" s="116" t="s">
        <v>53</v>
      </c>
      <c r="B9" s="119" t="s">
        <v>13</v>
      </c>
      <c r="C9" s="22" t="s">
        <v>86</v>
      </c>
      <c r="D9" s="17" t="s">
        <v>87</v>
      </c>
      <c r="E9" s="23" t="s">
        <v>145</v>
      </c>
      <c r="F9" s="17">
        <v>1</v>
      </c>
      <c r="G9" s="17" t="s">
        <v>79</v>
      </c>
      <c r="H9" s="17" t="s">
        <v>88</v>
      </c>
      <c r="I9" s="17">
        <f>COUNTIF(G9:G28,"Day 5")</f>
        <v>5</v>
      </c>
      <c r="J9" s="29"/>
      <c r="K9" s="29"/>
    </row>
    <row r="10" spans="1:23" ht="15.6" x14ac:dyDescent="0.3">
      <c r="A10" s="117"/>
      <c r="B10" s="119"/>
      <c r="C10" s="24" t="s">
        <v>89</v>
      </c>
      <c r="D10" s="42" t="s">
        <v>90</v>
      </c>
      <c r="E10" s="23" t="s">
        <v>145</v>
      </c>
      <c r="F10" s="42">
        <v>1</v>
      </c>
      <c r="G10" s="42" t="s">
        <v>79</v>
      </c>
      <c r="H10" s="28"/>
      <c r="I10" s="28"/>
      <c r="J10" s="29"/>
      <c r="K10" s="29"/>
    </row>
    <row r="11" spans="1:23" ht="15.6" x14ac:dyDescent="0.3">
      <c r="A11" s="117"/>
      <c r="B11" s="119"/>
      <c r="C11" s="22" t="s">
        <v>91</v>
      </c>
      <c r="D11" s="17" t="s">
        <v>92</v>
      </c>
      <c r="E11" s="23" t="s">
        <v>145</v>
      </c>
      <c r="F11" s="17">
        <v>2</v>
      </c>
      <c r="G11" s="17" t="s">
        <v>79</v>
      </c>
      <c r="H11" s="28"/>
      <c r="I11" s="28"/>
      <c r="J11" s="29"/>
      <c r="K11" s="29"/>
    </row>
    <row r="12" spans="1:23" ht="15.6" x14ac:dyDescent="0.3">
      <c r="A12" s="117"/>
      <c r="B12" s="119"/>
      <c r="C12" s="24" t="s">
        <v>93</v>
      </c>
      <c r="D12" s="42" t="s">
        <v>94</v>
      </c>
      <c r="E12" s="23" t="s">
        <v>145</v>
      </c>
      <c r="F12" s="42">
        <v>2</v>
      </c>
      <c r="G12" s="42" t="s">
        <v>79</v>
      </c>
      <c r="H12" s="28"/>
      <c r="I12" s="28"/>
      <c r="J12" s="29"/>
      <c r="K12" s="29"/>
    </row>
    <row r="13" spans="1:23" ht="15.6" x14ac:dyDescent="0.3">
      <c r="A13" s="117"/>
      <c r="B13" s="119"/>
      <c r="C13" s="22" t="s">
        <v>95</v>
      </c>
      <c r="D13" s="17" t="s">
        <v>96</v>
      </c>
      <c r="E13" s="23" t="s">
        <v>145</v>
      </c>
      <c r="F13" s="17">
        <v>3</v>
      </c>
      <c r="G13" s="17" t="s">
        <v>82</v>
      </c>
      <c r="H13" s="28"/>
      <c r="I13" s="28"/>
      <c r="J13" s="29"/>
      <c r="K13" s="29"/>
      <c r="W13" t="s">
        <v>76</v>
      </c>
    </row>
    <row r="14" spans="1:23" ht="21.6" customHeight="1" x14ac:dyDescent="0.3">
      <c r="A14" s="118"/>
      <c r="B14" s="119"/>
      <c r="C14" s="24" t="s">
        <v>97</v>
      </c>
      <c r="D14" s="42" t="s">
        <v>98</v>
      </c>
      <c r="E14" s="23" t="s">
        <v>145</v>
      </c>
      <c r="F14" s="42">
        <v>1</v>
      </c>
      <c r="G14" s="42" t="s">
        <v>82</v>
      </c>
      <c r="H14" s="28"/>
      <c r="I14" s="28"/>
      <c r="J14" s="29"/>
      <c r="K14" s="29"/>
      <c r="W14" t="s">
        <v>79</v>
      </c>
    </row>
    <row r="15" spans="1:23" ht="15.6" x14ac:dyDescent="0.3">
      <c r="A15" s="120" t="s">
        <v>54</v>
      </c>
      <c r="B15" s="120" t="s">
        <v>16</v>
      </c>
      <c r="C15" s="22" t="s">
        <v>99</v>
      </c>
      <c r="D15" s="17" t="s">
        <v>100</v>
      </c>
      <c r="E15" s="23" t="s">
        <v>145</v>
      </c>
      <c r="F15" s="17">
        <v>2</v>
      </c>
      <c r="G15" s="17" t="s">
        <v>82</v>
      </c>
      <c r="H15" s="28"/>
      <c r="I15" s="28"/>
      <c r="J15" s="29"/>
      <c r="K15" s="29"/>
      <c r="W15" t="s">
        <v>82</v>
      </c>
    </row>
    <row r="16" spans="1:23" ht="15.6" x14ac:dyDescent="0.3">
      <c r="A16" s="120"/>
      <c r="B16" s="120"/>
      <c r="C16" s="24" t="s">
        <v>101</v>
      </c>
      <c r="D16" s="42" t="s">
        <v>102</v>
      </c>
      <c r="E16" s="23" t="s">
        <v>145</v>
      </c>
      <c r="F16" s="42">
        <v>2</v>
      </c>
      <c r="G16" s="42" t="s">
        <v>85</v>
      </c>
      <c r="H16" s="28"/>
      <c r="I16" s="28"/>
      <c r="J16" s="29"/>
      <c r="K16" s="29"/>
      <c r="W16" t="s">
        <v>85</v>
      </c>
    </row>
    <row r="17" spans="1:23" ht="15.6" x14ac:dyDescent="0.3">
      <c r="A17" s="120"/>
      <c r="B17" s="120"/>
      <c r="C17" s="22" t="s">
        <v>103</v>
      </c>
      <c r="D17" s="17" t="s">
        <v>104</v>
      </c>
      <c r="E17" s="23" t="s">
        <v>145</v>
      </c>
      <c r="F17" s="17">
        <v>2</v>
      </c>
      <c r="G17" s="17" t="s">
        <v>85</v>
      </c>
      <c r="H17" s="28"/>
      <c r="I17" s="28"/>
      <c r="J17" s="29"/>
      <c r="K17" s="29"/>
      <c r="W17" t="s">
        <v>88</v>
      </c>
    </row>
    <row r="18" spans="1:23" ht="19.95" customHeight="1" x14ac:dyDescent="0.3">
      <c r="A18" s="120"/>
      <c r="B18" s="120"/>
      <c r="C18" s="24" t="s">
        <v>105</v>
      </c>
      <c r="D18" s="42" t="s">
        <v>106</v>
      </c>
      <c r="E18" s="23" t="s">
        <v>145</v>
      </c>
      <c r="F18" s="42">
        <v>2</v>
      </c>
      <c r="G18" s="42" t="s">
        <v>85</v>
      </c>
      <c r="H18" s="28"/>
      <c r="I18" s="28"/>
      <c r="J18" s="29"/>
      <c r="K18" s="29"/>
    </row>
    <row r="19" spans="1:23" ht="21" customHeight="1" x14ac:dyDescent="0.3">
      <c r="A19" s="120"/>
      <c r="B19" s="120"/>
      <c r="C19" s="22" t="s">
        <v>107</v>
      </c>
      <c r="D19" s="17" t="s">
        <v>108</v>
      </c>
      <c r="E19" s="23" t="s">
        <v>145</v>
      </c>
      <c r="F19" s="17">
        <v>2</v>
      </c>
      <c r="G19" s="17" t="s">
        <v>85</v>
      </c>
      <c r="H19" s="28"/>
      <c r="I19" s="28"/>
      <c r="J19" s="29"/>
      <c r="K19" s="29"/>
    </row>
    <row r="20" spans="1:23" ht="124.8" x14ac:dyDescent="0.3">
      <c r="A20" s="120"/>
      <c r="B20" s="120"/>
      <c r="C20" s="24" t="s">
        <v>109</v>
      </c>
      <c r="D20" s="42" t="s">
        <v>110</v>
      </c>
      <c r="E20" s="23" t="s">
        <v>145</v>
      </c>
      <c r="F20" s="42">
        <v>4</v>
      </c>
      <c r="G20" s="42" t="s">
        <v>88</v>
      </c>
      <c r="H20" s="28"/>
      <c r="I20" s="28"/>
      <c r="J20" s="29"/>
      <c r="K20" s="29"/>
    </row>
    <row r="21" spans="1:23" ht="46.8" x14ac:dyDescent="0.3">
      <c r="A21" s="120"/>
      <c r="B21" s="120"/>
      <c r="C21" s="22" t="s">
        <v>111</v>
      </c>
      <c r="D21" s="17" t="s">
        <v>112</v>
      </c>
      <c r="E21" s="23" t="s">
        <v>145</v>
      </c>
      <c r="F21" s="17">
        <v>2</v>
      </c>
      <c r="G21" s="17" t="s">
        <v>88</v>
      </c>
      <c r="H21" s="28"/>
      <c r="I21" s="28"/>
      <c r="J21" s="29"/>
      <c r="K21" s="29"/>
    </row>
    <row r="22" spans="1:23" ht="15.6" x14ac:dyDescent="0.3">
      <c r="A22" s="120"/>
      <c r="B22" s="120"/>
      <c r="C22" s="24" t="s">
        <v>113</v>
      </c>
      <c r="D22" s="42" t="s">
        <v>114</v>
      </c>
      <c r="E22" s="23" t="s">
        <v>145</v>
      </c>
      <c r="F22" s="42">
        <v>2</v>
      </c>
      <c r="G22" s="42" t="s">
        <v>88</v>
      </c>
      <c r="H22" s="28"/>
      <c r="I22" s="28"/>
      <c r="J22" s="29"/>
      <c r="K22" s="29"/>
    </row>
    <row r="23" spans="1:23" ht="15.6" x14ac:dyDescent="0.3">
      <c r="A23" s="120"/>
      <c r="B23" s="120"/>
      <c r="C23" s="22" t="s">
        <v>115</v>
      </c>
      <c r="D23" s="17" t="s">
        <v>116</v>
      </c>
      <c r="E23" s="23" t="s">
        <v>145</v>
      </c>
      <c r="F23" s="17">
        <v>2</v>
      </c>
      <c r="G23" s="17" t="s">
        <v>88</v>
      </c>
      <c r="H23" s="28"/>
      <c r="I23" s="28"/>
      <c r="J23" s="29"/>
      <c r="K23" s="29"/>
    </row>
    <row r="24" spans="1:23" ht="15.6" x14ac:dyDescent="0.3">
      <c r="A24" s="121"/>
      <c r="B24" s="121"/>
      <c r="C24" s="24" t="s">
        <v>117</v>
      </c>
      <c r="D24" s="42" t="s">
        <v>118</v>
      </c>
      <c r="E24" s="23" t="s">
        <v>145</v>
      </c>
      <c r="F24" s="42">
        <v>1</v>
      </c>
      <c r="G24" s="42" t="s">
        <v>88</v>
      </c>
      <c r="H24" s="28"/>
      <c r="I24" s="28"/>
      <c r="J24" s="29"/>
      <c r="K24" s="29"/>
    </row>
    <row r="25" spans="1:23" ht="21" customHeight="1" x14ac:dyDescent="0.3">
      <c r="A25" s="105" t="s">
        <v>119</v>
      </c>
      <c r="B25" s="106"/>
      <c r="C25" s="107"/>
      <c r="D25" s="25">
        <f>COUNTIF(D5:D24,"*Task-*")</f>
        <v>20</v>
      </c>
      <c r="E25" s="26" t="s">
        <v>120</v>
      </c>
      <c r="F25" s="25">
        <f>SUM(F5:F24)</f>
        <v>38</v>
      </c>
      <c r="G25" s="27"/>
      <c r="H25" s="28"/>
      <c r="I25" s="28"/>
      <c r="J25" s="29"/>
      <c r="K25" s="29"/>
    </row>
    <row r="26" spans="1:23" ht="14.4" x14ac:dyDescent="0.3">
      <c r="A26" s="29"/>
      <c r="B26" s="29"/>
      <c r="C26" s="29"/>
      <c r="D26" s="29"/>
      <c r="E26" s="29"/>
      <c r="F26" s="29"/>
      <c r="G26" s="29"/>
      <c r="H26" s="29"/>
      <c r="I26" s="29"/>
      <c r="J26" s="29"/>
      <c r="K26" s="29"/>
    </row>
    <row r="27" spans="1:23" ht="14.4" x14ac:dyDescent="0.3">
      <c r="A27" s="29"/>
      <c r="B27" s="29"/>
      <c r="C27" s="29"/>
      <c r="D27" s="29"/>
      <c r="E27" s="29"/>
      <c r="F27" s="29"/>
      <c r="G27" s="29"/>
      <c r="H27" s="29"/>
      <c r="I27" s="29"/>
      <c r="J27" s="29"/>
      <c r="K27" s="29"/>
    </row>
    <row r="28" spans="1:23" ht="14.4" x14ac:dyDescent="0.3">
      <c r="A28" s="29"/>
      <c r="B28" s="29"/>
      <c r="C28" s="29"/>
      <c r="D28" s="29"/>
      <c r="E28" s="29"/>
      <c r="F28" s="29"/>
      <c r="G28" s="29"/>
      <c r="H28" s="29"/>
      <c r="I28" s="29"/>
      <c r="J28" s="29"/>
      <c r="K28" s="29"/>
    </row>
    <row r="29" spans="1:23" ht="14.4" x14ac:dyDescent="0.3">
      <c r="A29" s="29"/>
      <c r="B29" s="29"/>
      <c r="C29" s="29"/>
      <c r="D29" s="29"/>
      <c r="E29" s="29"/>
      <c r="F29" s="29"/>
      <c r="G29" s="29"/>
      <c r="H29" s="29"/>
      <c r="I29" s="29"/>
      <c r="J29" s="29"/>
      <c r="K29" s="29"/>
    </row>
    <row r="30" spans="1:23" ht="14.4" x14ac:dyDescent="0.3">
      <c r="A30" s="29"/>
      <c r="B30" s="29"/>
      <c r="C30" s="29"/>
      <c r="D30" s="29"/>
      <c r="E30" s="29"/>
      <c r="F30" s="29"/>
      <c r="G30" s="29"/>
      <c r="H30" s="29"/>
      <c r="I30" s="29"/>
      <c r="J30" s="29"/>
      <c r="K30" s="29"/>
    </row>
    <row r="31" spans="1:23" ht="14.4" x14ac:dyDescent="0.3">
      <c r="A31" s="29"/>
      <c r="B31" s="29"/>
      <c r="C31" s="29"/>
      <c r="D31" s="29"/>
      <c r="E31" s="29"/>
      <c r="F31" s="29"/>
      <c r="G31" s="29"/>
      <c r="H31" s="29"/>
      <c r="I31" s="29"/>
      <c r="J31" s="29"/>
      <c r="K31" s="29"/>
    </row>
    <row r="32" spans="1:23" ht="14.4" x14ac:dyDescent="0.3">
      <c r="A32" s="29"/>
      <c r="B32" s="29"/>
      <c r="C32" s="29"/>
      <c r="D32" s="29"/>
      <c r="E32" s="29"/>
      <c r="F32" s="29"/>
      <c r="G32" s="29"/>
      <c r="H32" s="29"/>
      <c r="I32" s="29"/>
      <c r="J32" s="29"/>
      <c r="K32" s="29"/>
    </row>
    <row r="33" spans="1:11" ht="14.4" x14ac:dyDescent="0.3">
      <c r="A33" s="29"/>
      <c r="B33" s="29"/>
      <c r="C33" s="29"/>
      <c r="D33" s="29"/>
      <c r="E33" s="29"/>
      <c r="F33" s="29"/>
      <c r="G33" s="29"/>
      <c r="H33" s="29"/>
      <c r="I33" s="29"/>
      <c r="J33" s="29"/>
      <c r="K33" s="29"/>
    </row>
    <row r="34" spans="1:11" ht="14.4" x14ac:dyDescent="0.3">
      <c r="A34" s="29"/>
      <c r="B34" s="29"/>
      <c r="C34" s="29"/>
      <c r="D34" s="29"/>
      <c r="E34" s="29"/>
      <c r="F34" s="29"/>
      <c r="G34" s="29"/>
      <c r="H34" s="29"/>
      <c r="I34" s="29"/>
      <c r="J34" s="29"/>
      <c r="K34" s="29"/>
    </row>
    <row r="35" spans="1:11" ht="14.4" x14ac:dyDescent="0.3">
      <c r="A35" s="29"/>
      <c r="B35" s="29"/>
      <c r="C35" s="29"/>
      <c r="D35" s="29"/>
      <c r="E35" s="29"/>
      <c r="F35" s="29"/>
      <c r="G35" s="29"/>
      <c r="H35" s="29"/>
      <c r="I35" s="29"/>
      <c r="J35" s="29"/>
      <c r="K35" s="29"/>
    </row>
    <row r="36" spans="1:11" ht="14.4" x14ac:dyDescent="0.3">
      <c r="A36" s="29"/>
      <c r="B36" s="29"/>
      <c r="C36" s="29"/>
      <c r="D36" s="29"/>
      <c r="E36" s="29"/>
      <c r="F36" s="29"/>
      <c r="G36" s="29"/>
      <c r="H36" s="29"/>
      <c r="I36" s="29"/>
      <c r="J36" s="29"/>
      <c r="K36" s="29"/>
    </row>
    <row r="37" spans="1:11" ht="14.4" x14ac:dyDescent="0.3">
      <c r="H37" s="29"/>
      <c r="I37" s="29"/>
      <c r="J37" s="29"/>
      <c r="K37" s="29"/>
    </row>
    <row r="38" spans="1:11" ht="14.4" x14ac:dyDescent="0.3">
      <c r="H38" s="29"/>
      <c r="I38" s="29"/>
    </row>
    <row r="39" spans="1:11" ht="14.4" x14ac:dyDescent="0.3">
      <c r="H39" s="29"/>
      <c r="I39" s="29"/>
    </row>
    <row r="40" spans="1:11" ht="14.4" x14ac:dyDescent="0.3">
      <c r="H40" s="29"/>
      <c r="I40" s="29"/>
    </row>
    <row r="41" spans="1:11" ht="14.4" x14ac:dyDescent="0.3">
      <c r="H41" s="29"/>
      <c r="I41" s="29"/>
    </row>
    <row r="42" spans="1:11" ht="14.4" x14ac:dyDescent="0.3">
      <c r="H42" s="29"/>
      <c r="I42" s="29"/>
    </row>
    <row r="43" spans="1:11" ht="14.4" x14ac:dyDescent="0.3">
      <c r="H43" s="29"/>
      <c r="I43" s="29"/>
    </row>
    <row r="44" spans="1:11" ht="14.4" x14ac:dyDescent="0.3">
      <c r="H44" s="29"/>
      <c r="I44" s="29"/>
    </row>
    <row r="45" spans="1:11" ht="14.4" x14ac:dyDescent="0.3">
      <c r="H45" s="29"/>
      <c r="I45" s="29"/>
    </row>
    <row r="46" spans="1:11" ht="14.4" x14ac:dyDescent="0.3">
      <c r="H46" s="29"/>
      <c r="I46" s="29"/>
    </row>
    <row r="47" spans="1:11" ht="14.4" x14ac:dyDescent="0.3">
      <c r="H47" s="29"/>
      <c r="I47" s="29"/>
    </row>
    <row r="48" spans="1:11" ht="14.4" x14ac:dyDescent="0.3">
      <c r="H48" s="29"/>
      <c r="I48" s="29"/>
    </row>
    <row r="49" spans="8:9" ht="14.4" x14ac:dyDescent="0.3">
      <c r="H49" s="29"/>
      <c r="I49" s="29"/>
    </row>
    <row r="50" spans="8:9" ht="14.4" x14ac:dyDescent="0.3">
      <c r="H50" s="29"/>
      <c r="I50" s="29"/>
    </row>
    <row r="51" spans="8:9" ht="14.4" x14ac:dyDescent="0.3">
      <c r="H51" s="29"/>
      <c r="I51" s="29"/>
    </row>
    <row r="52" spans="8:9" ht="14.4" x14ac:dyDescent="0.3">
      <c r="H52" s="29"/>
      <c r="I52" s="29"/>
    </row>
    <row r="53" spans="8:9" ht="14.4" x14ac:dyDescent="0.3">
      <c r="H53" s="29"/>
      <c r="I53" s="29"/>
    </row>
    <row r="54" spans="8:9" ht="14.4" x14ac:dyDescent="0.3">
      <c r="H54" s="29"/>
      <c r="I54" s="29"/>
    </row>
    <row r="55" spans="8:9" ht="14.4" x14ac:dyDescent="0.3">
      <c r="H55" s="29"/>
      <c r="I55" s="29"/>
    </row>
    <row r="56" spans="8:9" ht="14.4" x14ac:dyDescent="0.3">
      <c r="H56" s="29"/>
      <c r="I56" s="29"/>
    </row>
    <row r="57" spans="8:9" ht="14.4" x14ac:dyDescent="0.3">
      <c r="H57" s="29"/>
      <c r="I57" s="29"/>
    </row>
    <row r="58" spans="8:9" ht="14.4" x14ac:dyDescent="0.3">
      <c r="H58" s="29"/>
      <c r="I58" s="29"/>
    </row>
    <row r="59" spans="8:9" ht="14.4" x14ac:dyDescent="0.3">
      <c r="H59" s="29"/>
      <c r="I59" s="29"/>
    </row>
    <row r="60" spans="8:9" ht="14.4" x14ac:dyDescent="0.3">
      <c r="H60" s="29"/>
      <c r="I60" s="29"/>
    </row>
  </sheetData>
  <mergeCells count="16">
    <mergeCell ref="A25:C25"/>
    <mergeCell ref="A1:I1"/>
    <mergeCell ref="A2:I2"/>
    <mergeCell ref="A3:A4"/>
    <mergeCell ref="B3:B4"/>
    <mergeCell ref="C3:C4"/>
    <mergeCell ref="D3:D4"/>
    <mergeCell ref="E3:E4"/>
    <mergeCell ref="F3:G3"/>
    <mergeCell ref="H3:I3"/>
    <mergeCell ref="A5:A8"/>
    <mergeCell ref="B5:B8"/>
    <mergeCell ref="A9:A14"/>
    <mergeCell ref="B9:B14"/>
    <mergeCell ref="A15:A24"/>
    <mergeCell ref="B15:B24"/>
  </mergeCells>
  <dataValidations count="1">
    <dataValidation type="list" allowBlank="1" showInputMessage="1" showErrorMessage="1" sqref="G5:G24" xr:uid="{A0347EF4-C597-48BF-90D7-E9C410CA6381}">
      <formula1>$W$13:$W$17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A027-6399-424F-9194-EC7D163EC5A9}">
  <dimension ref="A1:Y25"/>
  <sheetViews>
    <sheetView topLeftCell="B1" zoomScale="70" zoomScaleNormal="70" workbookViewId="0">
      <selection activeCell="F23" sqref="F23"/>
    </sheetView>
  </sheetViews>
  <sheetFormatPr defaultRowHeight="14.4" x14ac:dyDescent="0.3"/>
  <cols>
    <col min="1" max="1" width="23.21875" hidden="1" customWidth="1"/>
    <col min="2" max="2" width="19" customWidth="1"/>
    <col min="3" max="4" width="13.77734375" customWidth="1"/>
    <col min="5" max="5" width="16.77734375" customWidth="1"/>
    <col min="6" max="14" width="13.77734375" customWidth="1"/>
    <col min="15" max="15" width="17.77734375" customWidth="1"/>
    <col min="16" max="16" width="6.77734375" bestFit="1" customWidth="1"/>
    <col min="17" max="17" width="27.21875" bestFit="1" customWidth="1"/>
  </cols>
  <sheetData>
    <row r="1" spans="1:15" ht="25.2" customHeight="1" thickBot="1" x14ac:dyDescent="0.35">
      <c r="A1" s="61" t="s">
        <v>0</v>
      </c>
      <c r="B1" s="62"/>
      <c r="C1" s="62"/>
      <c r="D1" s="62"/>
      <c r="E1" s="62"/>
      <c r="F1" s="62"/>
      <c r="G1" s="62"/>
      <c r="H1" s="62"/>
      <c r="I1" s="62"/>
      <c r="J1" s="62"/>
      <c r="K1" s="62"/>
      <c r="L1" s="62"/>
      <c r="M1" s="62"/>
      <c r="N1" s="62"/>
      <c r="O1" s="62"/>
    </row>
    <row r="2" spans="1:15" ht="19.95" customHeight="1" thickTop="1" thickBot="1" x14ac:dyDescent="0.35">
      <c r="A2" s="63" t="s">
        <v>121</v>
      </c>
      <c r="B2" s="64"/>
      <c r="C2" s="64"/>
      <c r="D2" s="64"/>
      <c r="E2" s="64"/>
      <c r="F2" s="64"/>
      <c r="G2" s="64"/>
      <c r="H2" s="64"/>
      <c r="I2" s="64"/>
      <c r="J2" s="64"/>
      <c r="K2" s="64"/>
      <c r="L2" s="64"/>
      <c r="M2" s="64"/>
      <c r="N2" s="64"/>
      <c r="O2" s="64"/>
    </row>
    <row r="3" spans="1:15" ht="25.2" customHeight="1" thickTop="1" thickBot="1" x14ac:dyDescent="0.35">
      <c r="B3" s="65" t="s">
        <v>122</v>
      </c>
      <c r="C3" s="66"/>
      <c r="D3" s="66"/>
      <c r="E3" s="67"/>
      <c r="F3" s="65" t="s">
        <v>123</v>
      </c>
      <c r="G3" s="66"/>
      <c r="H3" s="66"/>
      <c r="I3" s="66"/>
      <c r="J3" s="66"/>
      <c r="K3" s="66"/>
      <c r="L3" s="66"/>
      <c r="M3" s="66"/>
      <c r="N3" s="66"/>
      <c r="O3" s="66"/>
    </row>
    <row r="4" spans="1:15" ht="21" customHeight="1" thickBot="1" x14ac:dyDescent="0.35">
      <c r="A4" s="1" t="s">
        <v>124</v>
      </c>
      <c r="B4" s="33" t="s">
        <v>125</v>
      </c>
      <c r="C4" s="33" t="s">
        <v>126</v>
      </c>
      <c r="D4" s="33" t="s">
        <v>67</v>
      </c>
      <c r="E4" s="33" t="s">
        <v>127</v>
      </c>
      <c r="F4" s="33" t="s">
        <v>76</v>
      </c>
      <c r="G4" s="33" t="s">
        <v>128</v>
      </c>
      <c r="H4" s="33" t="s">
        <v>79</v>
      </c>
      <c r="I4" s="33" t="s">
        <v>128</v>
      </c>
      <c r="J4" s="33" t="s">
        <v>82</v>
      </c>
      <c r="K4" s="33" t="s">
        <v>128</v>
      </c>
      <c r="L4" s="33" t="s">
        <v>85</v>
      </c>
      <c r="M4" s="33" t="s">
        <v>128</v>
      </c>
      <c r="N4" s="33" t="s">
        <v>88</v>
      </c>
      <c r="O4" s="33" t="s">
        <v>128</v>
      </c>
    </row>
    <row r="5" spans="1:15" ht="19.95" customHeight="1" thickBot="1" x14ac:dyDescent="0.35">
      <c r="A5" s="53" t="s">
        <v>129</v>
      </c>
      <c r="B5" s="68" t="s">
        <v>51</v>
      </c>
      <c r="C5" s="43" t="s">
        <v>75</v>
      </c>
      <c r="D5" s="31" t="s">
        <v>145</v>
      </c>
      <c r="E5" s="43">
        <f>(ActivityEffortEstimation!F5)</f>
        <v>1</v>
      </c>
      <c r="F5" s="43">
        <v>0.5</v>
      </c>
      <c r="G5" s="43" t="s">
        <v>130</v>
      </c>
      <c r="H5" s="43"/>
      <c r="I5" s="43"/>
      <c r="J5" s="43"/>
      <c r="K5" s="43"/>
      <c r="L5" s="43"/>
      <c r="M5" s="43"/>
      <c r="N5" s="43"/>
      <c r="O5" s="43"/>
    </row>
    <row r="6" spans="1:15" ht="19.95" customHeight="1" thickBot="1" x14ac:dyDescent="0.35">
      <c r="A6" s="54"/>
      <c r="B6" s="69"/>
      <c r="C6" s="43" t="s">
        <v>78</v>
      </c>
      <c r="D6" s="31" t="s">
        <v>145</v>
      </c>
      <c r="E6" s="43">
        <f>(ActivityEffortEstimation!F6)</f>
        <v>1</v>
      </c>
      <c r="F6" s="43">
        <v>1</v>
      </c>
      <c r="G6" s="43" t="s">
        <v>130</v>
      </c>
      <c r="H6" s="43"/>
      <c r="I6" s="43"/>
      <c r="J6" s="43"/>
      <c r="K6" s="43"/>
      <c r="L6" s="43"/>
      <c r="M6" s="43"/>
      <c r="N6" s="43"/>
      <c r="O6" s="43"/>
    </row>
    <row r="7" spans="1:15" ht="19.95" customHeight="1" thickBot="1" x14ac:dyDescent="0.35">
      <c r="A7" s="54"/>
      <c r="B7" s="69"/>
      <c r="C7" s="43" t="s">
        <v>81</v>
      </c>
      <c r="D7" s="31" t="s">
        <v>145</v>
      </c>
      <c r="E7" s="43">
        <f>(ActivityEffortEstimation!F7)</f>
        <v>4</v>
      </c>
      <c r="F7" s="43">
        <v>3.5</v>
      </c>
      <c r="G7" s="43" t="s">
        <v>130</v>
      </c>
      <c r="H7" s="43"/>
      <c r="I7" s="43"/>
      <c r="J7" s="43"/>
      <c r="K7" s="43"/>
      <c r="L7" s="43"/>
      <c r="M7" s="43"/>
      <c r="N7" s="43"/>
      <c r="O7" s="43"/>
    </row>
    <row r="8" spans="1:15" ht="19.95" customHeight="1" thickBot="1" x14ac:dyDescent="0.35">
      <c r="A8" s="55"/>
      <c r="B8" s="70"/>
      <c r="C8" s="43" t="s">
        <v>84</v>
      </c>
      <c r="D8" s="31" t="s">
        <v>145</v>
      </c>
      <c r="E8" s="43">
        <f>(ActivityEffortEstimation!F8)</f>
        <v>1</v>
      </c>
      <c r="F8" s="43">
        <v>1</v>
      </c>
      <c r="G8" s="43" t="s">
        <v>130</v>
      </c>
      <c r="H8" s="43"/>
      <c r="I8" s="43"/>
      <c r="J8" s="43"/>
      <c r="K8" s="43"/>
      <c r="L8" s="43"/>
      <c r="M8" s="43"/>
      <c r="N8" s="43"/>
      <c r="O8" s="43"/>
    </row>
    <row r="9" spans="1:15" ht="19.95" customHeight="1" thickBot="1" x14ac:dyDescent="0.35">
      <c r="A9" s="48" t="s">
        <v>131</v>
      </c>
      <c r="B9" s="51" t="s">
        <v>53</v>
      </c>
      <c r="C9" s="43" t="s">
        <v>87</v>
      </c>
      <c r="D9" s="31" t="s">
        <v>145</v>
      </c>
      <c r="E9" s="43">
        <f>(ActivityEffortEstimation!F9)</f>
        <v>1</v>
      </c>
      <c r="F9" s="43"/>
      <c r="G9" s="43"/>
      <c r="H9" s="43">
        <v>0.5</v>
      </c>
      <c r="I9" s="43" t="s">
        <v>130</v>
      </c>
      <c r="J9" s="43"/>
      <c r="K9" s="43"/>
      <c r="L9" s="43"/>
      <c r="M9" s="43"/>
      <c r="N9" s="43"/>
      <c r="O9" s="43"/>
    </row>
    <row r="10" spans="1:15" ht="19.95" customHeight="1" x14ac:dyDescent="0.3">
      <c r="A10" s="49"/>
      <c r="B10" s="51"/>
      <c r="C10" s="43" t="s">
        <v>90</v>
      </c>
      <c r="D10" s="31" t="s">
        <v>145</v>
      </c>
      <c r="E10" s="43">
        <f>(ActivityEffortEstimation!F10)</f>
        <v>1</v>
      </c>
      <c r="F10" s="43"/>
      <c r="G10" s="43"/>
      <c r="H10" s="43">
        <v>1</v>
      </c>
      <c r="I10" s="43" t="s">
        <v>130</v>
      </c>
      <c r="J10" s="43"/>
      <c r="K10" s="43"/>
      <c r="L10" s="43"/>
      <c r="M10" s="43"/>
      <c r="N10" s="43"/>
      <c r="O10" s="43"/>
    </row>
    <row r="11" spans="1:15" ht="19.95" customHeight="1" x14ac:dyDescent="0.3">
      <c r="A11" s="49"/>
      <c r="B11" s="51"/>
      <c r="C11" s="43" t="s">
        <v>92</v>
      </c>
      <c r="D11" s="31" t="s">
        <v>145</v>
      </c>
      <c r="E11" s="43">
        <f>(ActivityEffortEstimation!F11)</f>
        <v>2</v>
      </c>
      <c r="F11" s="43"/>
      <c r="G11" s="43"/>
      <c r="H11" s="43">
        <v>1.5</v>
      </c>
      <c r="I11" s="43" t="s">
        <v>130</v>
      </c>
      <c r="J11" s="43"/>
      <c r="K11" s="43"/>
      <c r="L11" s="43"/>
      <c r="M11" s="43"/>
      <c r="N11" s="43"/>
      <c r="O11" s="43"/>
    </row>
    <row r="12" spans="1:15" ht="19.95" customHeight="1" thickBot="1" x14ac:dyDescent="0.35">
      <c r="A12" s="49"/>
      <c r="B12" s="51"/>
      <c r="C12" s="43" t="s">
        <v>94</v>
      </c>
      <c r="D12" s="31" t="s">
        <v>145</v>
      </c>
      <c r="E12" s="43">
        <f>(ActivityEffortEstimation!F12)</f>
        <v>2</v>
      </c>
      <c r="F12" s="43"/>
      <c r="G12" s="43"/>
      <c r="H12" s="43">
        <v>1.5</v>
      </c>
      <c r="I12" s="43" t="s">
        <v>130</v>
      </c>
      <c r="J12" s="43"/>
      <c r="K12" s="43"/>
      <c r="L12" s="43"/>
      <c r="M12" s="43"/>
      <c r="N12" s="43"/>
      <c r="O12" s="43"/>
    </row>
    <row r="13" spans="1:15" ht="19.95" customHeight="1" thickBot="1" x14ac:dyDescent="0.35">
      <c r="A13" s="49"/>
      <c r="B13" s="51"/>
      <c r="C13" s="43" t="s">
        <v>96</v>
      </c>
      <c r="D13" s="31" t="s">
        <v>145</v>
      </c>
      <c r="E13" s="43">
        <f>(ActivityEffortEstimation!F13)</f>
        <v>3</v>
      </c>
      <c r="F13" s="43"/>
      <c r="G13" s="43"/>
      <c r="H13" s="43">
        <v>2.5</v>
      </c>
      <c r="I13" s="43" t="s">
        <v>130</v>
      </c>
      <c r="J13" s="43"/>
      <c r="K13" s="43"/>
      <c r="L13" s="43"/>
      <c r="M13" s="43"/>
      <c r="N13" s="43"/>
      <c r="O13" s="43"/>
    </row>
    <row r="14" spans="1:15" ht="19.95" customHeight="1" thickBot="1" x14ac:dyDescent="0.35">
      <c r="A14" s="50"/>
      <c r="B14" s="52"/>
      <c r="C14" s="43" t="s">
        <v>98</v>
      </c>
      <c r="D14" s="31" t="s">
        <v>145</v>
      </c>
      <c r="E14" s="43">
        <f>(ActivityEffortEstimation!F14)</f>
        <v>1</v>
      </c>
      <c r="F14" s="43"/>
      <c r="G14" s="43"/>
      <c r="H14" s="43"/>
      <c r="I14" s="43"/>
      <c r="J14" s="43">
        <v>0.5</v>
      </c>
      <c r="K14" s="43" t="s">
        <v>130</v>
      </c>
      <c r="L14" s="43"/>
      <c r="M14" s="43"/>
      <c r="N14" s="43"/>
      <c r="O14" s="43"/>
    </row>
    <row r="15" spans="1:15" ht="19.95" customHeight="1" thickBot="1" x14ac:dyDescent="0.35">
      <c r="A15" s="53" t="s">
        <v>132</v>
      </c>
      <c r="B15" s="56" t="s">
        <v>54</v>
      </c>
      <c r="C15" s="43" t="s">
        <v>100</v>
      </c>
      <c r="D15" s="31" t="s">
        <v>145</v>
      </c>
      <c r="E15" s="43">
        <f>(ActivityEffortEstimation!F15)</f>
        <v>2</v>
      </c>
      <c r="F15" s="43"/>
      <c r="G15" s="43"/>
      <c r="H15" s="43"/>
      <c r="I15" s="43"/>
      <c r="J15" s="43">
        <v>1.5</v>
      </c>
      <c r="K15" s="43" t="s">
        <v>130</v>
      </c>
      <c r="L15" s="43"/>
      <c r="M15" s="43"/>
      <c r="N15" s="43"/>
      <c r="O15" s="43"/>
    </row>
    <row r="16" spans="1:15" ht="19.95" customHeight="1" thickBot="1" x14ac:dyDescent="0.35">
      <c r="A16" s="54"/>
      <c r="B16" s="56"/>
      <c r="C16" s="43" t="s">
        <v>102</v>
      </c>
      <c r="D16" s="31" t="s">
        <v>145</v>
      </c>
      <c r="E16" s="43">
        <f>(ActivityEffortEstimation!F16)</f>
        <v>2</v>
      </c>
      <c r="F16" s="43"/>
      <c r="G16" s="43"/>
      <c r="H16" s="43"/>
      <c r="I16" s="43"/>
      <c r="J16" s="43">
        <v>2</v>
      </c>
      <c r="K16" s="43" t="s">
        <v>130</v>
      </c>
      <c r="L16" s="43"/>
      <c r="M16" s="43"/>
      <c r="N16" s="43"/>
      <c r="O16" s="43"/>
    </row>
    <row r="17" spans="1:25" ht="19.95" customHeight="1" thickBot="1" x14ac:dyDescent="0.35">
      <c r="A17" s="54"/>
      <c r="B17" s="56"/>
      <c r="C17" s="43" t="s">
        <v>104</v>
      </c>
      <c r="D17" s="31" t="s">
        <v>145</v>
      </c>
      <c r="E17" s="43">
        <f>(ActivityEffortEstimation!F17)</f>
        <v>2</v>
      </c>
      <c r="F17" s="43"/>
      <c r="G17" s="43"/>
      <c r="H17" s="43"/>
      <c r="I17" s="43"/>
      <c r="J17" s="43">
        <v>2</v>
      </c>
      <c r="K17" s="43" t="s">
        <v>130</v>
      </c>
      <c r="L17" s="43"/>
      <c r="M17" s="43"/>
      <c r="N17" s="43"/>
      <c r="O17" s="43"/>
    </row>
    <row r="18" spans="1:25" ht="19.95" customHeight="1" thickBot="1" x14ac:dyDescent="0.35">
      <c r="A18" s="54"/>
      <c r="B18" s="56"/>
      <c r="C18" s="43" t="s">
        <v>106</v>
      </c>
      <c r="D18" s="31" t="s">
        <v>145</v>
      </c>
      <c r="E18" s="43">
        <f>(ActivityEffortEstimation!F18)</f>
        <v>2</v>
      </c>
      <c r="F18" s="43"/>
      <c r="G18" s="43"/>
      <c r="H18" s="43"/>
      <c r="I18" s="43"/>
      <c r="J18" s="43"/>
      <c r="K18" s="43"/>
      <c r="L18" s="43">
        <v>1.5</v>
      </c>
      <c r="M18" s="43" t="s">
        <v>130</v>
      </c>
      <c r="N18" s="43"/>
      <c r="O18" s="43"/>
      <c r="S18" s="7"/>
      <c r="T18" t="s">
        <v>133</v>
      </c>
      <c r="Y18" t="s">
        <v>130</v>
      </c>
    </row>
    <row r="19" spans="1:25" ht="19.95" customHeight="1" thickBot="1" x14ac:dyDescent="0.35">
      <c r="A19" s="54"/>
      <c r="B19" s="56"/>
      <c r="C19" s="43" t="s">
        <v>108</v>
      </c>
      <c r="D19" s="31" t="s">
        <v>145</v>
      </c>
      <c r="E19" s="43">
        <f>(ActivityEffortEstimation!F19)</f>
        <v>2</v>
      </c>
      <c r="F19" s="43"/>
      <c r="G19" s="43"/>
      <c r="H19" s="43"/>
      <c r="I19" s="43"/>
      <c r="J19" s="43"/>
      <c r="K19" s="43"/>
      <c r="L19" s="43">
        <v>2</v>
      </c>
      <c r="M19" s="43" t="s">
        <v>130</v>
      </c>
      <c r="N19" s="43"/>
      <c r="O19" s="43"/>
      <c r="S19" s="8"/>
      <c r="T19" t="s">
        <v>134</v>
      </c>
      <c r="Y19" t="s">
        <v>135</v>
      </c>
    </row>
    <row r="20" spans="1:25" ht="19.95" customHeight="1" thickBot="1" x14ac:dyDescent="0.35">
      <c r="A20" s="55"/>
      <c r="B20" s="56"/>
      <c r="C20" s="43" t="s">
        <v>110</v>
      </c>
      <c r="D20" s="31" t="s">
        <v>145</v>
      </c>
      <c r="E20" s="43">
        <f>(ActivityEffortEstimation!F20)</f>
        <v>4</v>
      </c>
      <c r="F20" s="43"/>
      <c r="G20" s="43"/>
      <c r="H20" s="43"/>
      <c r="I20" s="43"/>
      <c r="J20" s="43"/>
      <c r="K20" s="43"/>
      <c r="L20" s="43">
        <v>4</v>
      </c>
      <c r="M20" s="43" t="s">
        <v>130</v>
      </c>
      <c r="N20" s="43"/>
      <c r="O20" s="43"/>
    </row>
    <row r="21" spans="1:25" ht="19.95" customHeight="1" thickBot="1" x14ac:dyDescent="0.35">
      <c r="A21" s="1"/>
      <c r="B21" s="56"/>
      <c r="C21" s="43" t="s">
        <v>112</v>
      </c>
      <c r="D21" s="31" t="s">
        <v>145</v>
      </c>
      <c r="E21" s="43">
        <f>(ActivityEffortEstimation!F21)</f>
        <v>2</v>
      </c>
      <c r="F21" s="43"/>
      <c r="G21" s="43"/>
      <c r="H21" s="43"/>
      <c r="I21" s="43"/>
      <c r="J21" s="43"/>
      <c r="K21" s="43"/>
      <c r="L21" s="43"/>
      <c r="M21" s="43"/>
      <c r="N21" s="43">
        <v>1</v>
      </c>
      <c r="O21" s="43" t="s">
        <v>130</v>
      </c>
    </row>
    <row r="22" spans="1:25" ht="19.95" customHeight="1" thickBot="1" x14ac:dyDescent="0.35">
      <c r="A22" s="1"/>
      <c r="B22" s="56"/>
      <c r="C22" s="43" t="s">
        <v>114</v>
      </c>
      <c r="D22" s="31" t="s">
        <v>145</v>
      </c>
      <c r="E22" s="43">
        <f>(ActivityEffortEstimation!F22)</f>
        <v>2</v>
      </c>
      <c r="F22" s="43"/>
      <c r="G22" s="43"/>
      <c r="H22" s="43"/>
      <c r="I22" s="43"/>
      <c r="J22" s="43"/>
      <c r="K22" s="43"/>
      <c r="L22" s="43"/>
      <c r="M22" s="43"/>
      <c r="N22" s="43">
        <v>2</v>
      </c>
      <c r="O22" s="43" t="s">
        <v>130</v>
      </c>
    </row>
    <row r="23" spans="1:25" ht="19.95" customHeight="1" thickBot="1" x14ac:dyDescent="0.35">
      <c r="A23" s="1"/>
      <c r="B23" s="56"/>
      <c r="C23" s="43" t="s">
        <v>116</v>
      </c>
      <c r="D23" s="31" t="s">
        <v>145</v>
      </c>
      <c r="E23" s="43">
        <f>(ActivityEffortEstimation!F23)</f>
        <v>2</v>
      </c>
      <c r="F23" s="43"/>
      <c r="G23" s="43"/>
      <c r="H23" s="43"/>
      <c r="I23" s="43"/>
      <c r="J23" s="43"/>
      <c r="K23" s="43"/>
      <c r="L23" s="43"/>
      <c r="M23" s="43"/>
      <c r="N23" s="43">
        <v>1.5</v>
      </c>
      <c r="O23" s="43" t="s">
        <v>130</v>
      </c>
    </row>
    <row r="24" spans="1:25" ht="19.95" customHeight="1" thickBot="1" x14ac:dyDescent="0.35">
      <c r="A24" s="1"/>
      <c r="B24" s="57"/>
      <c r="C24" s="43" t="s">
        <v>118</v>
      </c>
      <c r="D24" s="31" t="s">
        <v>145</v>
      </c>
      <c r="E24" s="43">
        <f>(ActivityEffortEstimation!F24)</f>
        <v>1</v>
      </c>
      <c r="F24" s="43"/>
      <c r="G24" s="43"/>
      <c r="H24" s="43"/>
      <c r="I24" s="43"/>
      <c r="J24" s="43"/>
      <c r="K24" s="43"/>
      <c r="L24" s="43"/>
      <c r="M24" s="43"/>
      <c r="N24" s="43">
        <v>1</v>
      </c>
      <c r="O24" s="43" t="s">
        <v>130</v>
      </c>
    </row>
    <row r="25" spans="1:25" ht="19.95" customHeight="1" thickBot="1" x14ac:dyDescent="0.35">
      <c r="A25" s="1"/>
      <c r="B25" s="58" t="s">
        <v>56</v>
      </c>
      <c r="C25" s="59"/>
      <c r="D25" s="60"/>
      <c r="E25" s="44">
        <f>SUM(E5:E24)</f>
        <v>38</v>
      </c>
      <c r="F25" s="44">
        <f>SUM(F5:F24)</f>
        <v>6</v>
      </c>
      <c r="G25" s="32">
        <f>COUNTIF(G5:G24,"Completed")</f>
        <v>4</v>
      </c>
      <c r="H25" s="44">
        <f>SUM(H5:H24)</f>
        <v>7</v>
      </c>
      <c r="I25" s="32">
        <f>COUNTIF(I5:I24,"Completed")</f>
        <v>5</v>
      </c>
      <c r="J25" s="44">
        <f>SUM(J5:J24)</f>
        <v>6</v>
      </c>
      <c r="K25" s="32">
        <f>COUNTIF(K5:K24,"Completed")</f>
        <v>4</v>
      </c>
      <c r="L25" s="44">
        <f>SUM(L5:L24)</f>
        <v>7.5</v>
      </c>
      <c r="M25" s="32">
        <f>COUNTIF(M5:M24,"Completed")</f>
        <v>3</v>
      </c>
      <c r="N25" s="44">
        <f>SUM(N5:N24)</f>
        <v>5.5</v>
      </c>
      <c r="O25" s="32">
        <f>COUNTIF(O5:O24,"Completed")</f>
        <v>4</v>
      </c>
    </row>
  </sheetData>
  <mergeCells count="11">
    <mergeCell ref="A1:O1"/>
    <mergeCell ref="A2:O2"/>
    <mergeCell ref="B3:E3"/>
    <mergeCell ref="F3:O3"/>
    <mergeCell ref="A5:A8"/>
    <mergeCell ref="B5:B8"/>
    <mergeCell ref="A9:A14"/>
    <mergeCell ref="B9:B14"/>
    <mergeCell ref="A15:A20"/>
    <mergeCell ref="B15:B24"/>
    <mergeCell ref="B25:D25"/>
  </mergeCells>
  <dataValidations count="1">
    <dataValidation type="list" allowBlank="1" showInputMessage="1" showErrorMessage="1" sqref="O5:O24 I5:I24 G5:G24 M5:M24 K5:K24" xr:uid="{68053B6A-1055-42E0-A200-8D0CB1218F23}">
      <formula1>$Y$18:$Y$19</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15FF-5779-490A-8B30-F4865424F88F}">
  <dimension ref="A1:R28"/>
  <sheetViews>
    <sheetView topLeftCell="A3" workbookViewId="0">
      <selection activeCell="D22" sqref="D22"/>
    </sheetView>
  </sheetViews>
  <sheetFormatPr defaultRowHeight="14.4" x14ac:dyDescent="0.3"/>
  <cols>
    <col min="2" max="2" width="10.21875" customWidth="1"/>
    <col min="3" max="4" width="30.77734375" customWidth="1"/>
    <col min="16" max="16" width="23.21875" customWidth="1"/>
  </cols>
  <sheetData>
    <row r="1" spans="1:18" ht="31.95" customHeight="1" thickBot="1" x14ac:dyDescent="0.35">
      <c r="A1" s="61" t="s">
        <v>0</v>
      </c>
      <c r="B1" s="62"/>
      <c r="C1" s="62"/>
      <c r="D1" s="62"/>
      <c r="E1" s="62"/>
      <c r="F1" s="62"/>
      <c r="G1" s="62"/>
      <c r="H1" s="62"/>
      <c r="I1" s="62"/>
      <c r="J1" s="62"/>
      <c r="K1" s="62"/>
      <c r="L1" s="62"/>
      <c r="M1" s="62"/>
      <c r="N1" s="62"/>
      <c r="O1" s="62"/>
      <c r="P1" s="62"/>
      <c r="Q1" s="29"/>
      <c r="R1" s="29"/>
    </row>
    <row r="2" spans="1:18" ht="33" customHeight="1" thickTop="1" thickBot="1" x14ac:dyDescent="0.35">
      <c r="A2" s="122" t="s">
        <v>136</v>
      </c>
      <c r="B2" s="123"/>
      <c r="C2" s="123"/>
      <c r="D2" s="123"/>
      <c r="E2" s="123"/>
      <c r="F2" s="123"/>
      <c r="G2" s="123"/>
      <c r="H2" s="123"/>
      <c r="I2" s="123"/>
      <c r="J2" s="123"/>
      <c r="K2" s="123"/>
      <c r="L2" s="123"/>
      <c r="M2" s="123"/>
      <c r="N2" s="123"/>
      <c r="O2" s="123"/>
      <c r="P2" s="123"/>
      <c r="Q2" s="29"/>
      <c r="R2" s="29"/>
    </row>
    <row r="3" spans="1:18" ht="30" customHeight="1" thickTop="1" x14ac:dyDescent="0.3">
      <c r="A3" s="124" t="s">
        <v>137</v>
      </c>
      <c r="B3" s="125"/>
      <c r="C3" s="125"/>
      <c r="D3" s="126"/>
      <c r="E3" s="29"/>
      <c r="F3" s="29"/>
      <c r="G3" s="29"/>
      <c r="H3" s="29"/>
      <c r="I3" s="29"/>
      <c r="J3" s="29"/>
      <c r="K3" s="29"/>
      <c r="L3" s="29"/>
      <c r="M3" s="29"/>
      <c r="N3" s="29"/>
      <c r="O3" s="29"/>
      <c r="P3" s="29"/>
      <c r="Q3" s="29"/>
      <c r="R3" s="29"/>
    </row>
    <row r="4" spans="1:18" ht="30" customHeight="1" x14ac:dyDescent="0.3">
      <c r="A4" s="124" t="s">
        <v>138</v>
      </c>
      <c r="B4" s="125"/>
      <c r="C4" s="125"/>
      <c r="D4" s="126"/>
      <c r="E4" s="29"/>
      <c r="F4" s="29"/>
      <c r="G4" s="29"/>
      <c r="H4" s="29"/>
      <c r="I4" s="29"/>
      <c r="J4" s="29"/>
      <c r="K4" s="29"/>
      <c r="L4" s="29"/>
      <c r="M4" s="29"/>
      <c r="N4" s="29"/>
      <c r="O4" s="29"/>
      <c r="P4" s="29"/>
      <c r="Q4" s="29"/>
      <c r="R4" s="29"/>
    </row>
    <row r="5" spans="1:18" ht="30" customHeight="1" x14ac:dyDescent="0.3">
      <c r="A5" s="6" t="s">
        <v>2</v>
      </c>
      <c r="B5" s="6" t="s">
        <v>139</v>
      </c>
      <c r="C5" s="6" t="s">
        <v>140</v>
      </c>
      <c r="D5" s="6" t="s">
        <v>141</v>
      </c>
      <c r="E5" s="29"/>
      <c r="F5" s="29"/>
      <c r="G5" s="29"/>
      <c r="H5" s="29"/>
      <c r="I5" s="29"/>
      <c r="J5" s="29"/>
      <c r="K5" s="29"/>
      <c r="L5" s="29"/>
      <c r="M5" s="29"/>
      <c r="N5" s="29"/>
      <c r="O5" s="29"/>
      <c r="P5" s="29"/>
      <c r="Q5" s="29"/>
      <c r="R5" s="29"/>
    </row>
    <row r="6" spans="1:18" ht="15.6" x14ac:dyDescent="0.3">
      <c r="A6" s="34">
        <v>1</v>
      </c>
      <c r="B6" s="12" t="s">
        <v>142</v>
      </c>
      <c r="C6" s="12">
        <v>20</v>
      </c>
      <c r="D6" s="12">
        <v>20</v>
      </c>
      <c r="E6" s="29"/>
      <c r="F6" s="29"/>
      <c r="G6" s="29"/>
      <c r="H6" s="29"/>
      <c r="I6" s="29"/>
      <c r="J6" s="29"/>
      <c r="K6" s="29"/>
      <c r="L6" s="29"/>
      <c r="M6" s="29"/>
      <c r="N6" s="29"/>
      <c r="O6" s="29"/>
      <c r="P6" s="29"/>
      <c r="Q6" s="29"/>
      <c r="R6" s="29"/>
    </row>
    <row r="7" spans="1:18" ht="15.6" x14ac:dyDescent="0.3">
      <c r="A7" s="35">
        <v>2</v>
      </c>
      <c r="B7" s="12" t="s">
        <v>76</v>
      </c>
      <c r="C7" s="12">
        <v>16</v>
      </c>
      <c r="D7" s="12">
        <v>16</v>
      </c>
      <c r="E7" s="29"/>
      <c r="F7" s="29"/>
      <c r="G7" s="29"/>
      <c r="H7" s="29"/>
      <c r="I7" s="29"/>
      <c r="J7" s="29"/>
      <c r="K7" s="29"/>
      <c r="L7" s="29"/>
      <c r="M7" s="29"/>
      <c r="N7" s="29"/>
      <c r="O7" s="29"/>
      <c r="P7" s="29"/>
      <c r="Q7" s="29"/>
      <c r="R7" s="29"/>
    </row>
    <row r="8" spans="1:18" ht="15.6" x14ac:dyDescent="0.3">
      <c r="A8" s="34">
        <v>3</v>
      </c>
      <c r="B8" s="12" t="s">
        <v>79</v>
      </c>
      <c r="C8" s="12">
        <f>C7-(ActivityEffortEstimation!I6)</f>
        <v>12</v>
      </c>
      <c r="D8" s="12">
        <v>11</v>
      </c>
      <c r="E8" s="29"/>
      <c r="F8" s="29"/>
      <c r="G8" s="29"/>
      <c r="H8" s="29"/>
      <c r="I8" s="29"/>
      <c r="J8" s="29"/>
      <c r="K8" s="29"/>
      <c r="L8" s="29"/>
      <c r="M8" s="29"/>
      <c r="N8" s="29"/>
      <c r="O8" s="29"/>
      <c r="P8" s="29"/>
      <c r="Q8" s="29"/>
      <c r="R8" s="29"/>
    </row>
    <row r="9" spans="1:18" ht="15.6" x14ac:dyDescent="0.3">
      <c r="A9" s="35">
        <v>4</v>
      </c>
      <c r="B9" s="12" t="s">
        <v>82</v>
      </c>
      <c r="C9" s="12">
        <f>C8-(ActivityEffortEstimation!I7)</f>
        <v>9</v>
      </c>
      <c r="D9" s="12">
        <v>7</v>
      </c>
      <c r="E9" s="29"/>
      <c r="F9" s="29"/>
      <c r="G9" s="29"/>
      <c r="H9" s="29"/>
      <c r="I9" s="29"/>
      <c r="J9" s="29"/>
      <c r="K9" s="29"/>
      <c r="L9" s="29"/>
      <c r="M9" s="29"/>
      <c r="N9" s="29"/>
      <c r="O9" s="29"/>
      <c r="P9" s="29"/>
      <c r="Q9" s="29"/>
      <c r="R9" s="29"/>
    </row>
    <row r="10" spans="1:18" ht="15.6" x14ac:dyDescent="0.3">
      <c r="A10" s="34">
        <v>5</v>
      </c>
      <c r="B10" s="12" t="s">
        <v>85</v>
      </c>
      <c r="C10" s="12">
        <f>C9-(ActivityEffortEstimation!I8)</f>
        <v>5</v>
      </c>
      <c r="D10" s="12">
        <f>D9-(ActivityTracker!M25)</f>
        <v>4</v>
      </c>
      <c r="E10" s="29"/>
      <c r="F10" s="29"/>
      <c r="G10" s="29"/>
      <c r="H10" s="29"/>
      <c r="I10" s="29"/>
      <c r="J10" s="29"/>
      <c r="K10" s="29"/>
      <c r="L10" s="29"/>
      <c r="M10" s="29"/>
      <c r="N10" s="29"/>
      <c r="O10" s="29"/>
      <c r="P10" s="29"/>
      <c r="Q10" s="29"/>
      <c r="R10" s="29"/>
    </row>
    <row r="11" spans="1:18" ht="15.6" x14ac:dyDescent="0.3">
      <c r="A11" s="35">
        <v>6</v>
      </c>
      <c r="B11" s="12" t="s">
        <v>88</v>
      </c>
      <c r="C11" s="12">
        <f>C10-(ActivityEffortEstimation!I9)</f>
        <v>0</v>
      </c>
      <c r="D11" s="12">
        <f>D10-(ActivityTracker!O25)</f>
        <v>0</v>
      </c>
      <c r="E11" s="29"/>
      <c r="F11" s="29"/>
      <c r="G11" s="29"/>
      <c r="H11" s="29"/>
      <c r="I11" s="29"/>
      <c r="J11" s="29"/>
      <c r="K11" s="29"/>
      <c r="L11" s="29"/>
      <c r="M11" s="29"/>
      <c r="N11" s="29"/>
      <c r="O11" s="29"/>
      <c r="P11" s="29"/>
      <c r="Q11" s="29"/>
      <c r="R11" s="29"/>
    </row>
    <row r="12" spans="1:18" ht="30" customHeight="1" x14ac:dyDescent="0.3">
      <c r="A12" s="6" t="s">
        <v>2</v>
      </c>
      <c r="B12" s="6" t="s">
        <v>72</v>
      </c>
      <c r="C12" s="6" t="s">
        <v>143</v>
      </c>
      <c r="D12" s="6" t="s">
        <v>144</v>
      </c>
      <c r="E12" s="29"/>
      <c r="F12" s="29"/>
      <c r="G12" s="29"/>
      <c r="H12" s="29"/>
      <c r="I12" s="29"/>
      <c r="J12" s="29"/>
      <c r="K12" s="29"/>
      <c r="L12" s="29"/>
      <c r="M12" s="29"/>
      <c r="N12" s="29"/>
      <c r="O12" s="29"/>
      <c r="P12" s="29"/>
      <c r="Q12" s="29"/>
      <c r="R12" s="29"/>
    </row>
    <row r="13" spans="1:18" ht="15.6" x14ac:dyDescent="0.3">
      <c r="A13" s="35">
        <v>1</v>
      </c>
      <c r="B13" s="35" t="s">
        <v>76</v>
      </c>
      <c r="C13" s="35">
        <v>4</v>
      </c>
      <c r="D13" s="35">
        <v>4</v>
      </c>
      <c r="E13" s="29"/>
      <c r="F13" s="29"/>
      <c r="G13" s="29"/>
      <c r="H13" s="29"/>
      <c r="I13" s="29"/>
      <c r="J13" s="29"/>
      <c r="K13" s="29"/>
      <c r="L13" s="29"/>
      <c r="M13" s="29"/>
      <c r="N13" s="29"/>
      <c r="O13" s="29"/>
      <c r="P13" s="29"/>
      <c r="Q13" s="29"/>
      <c r="R13" s="29"/>
    </row>
    <row r="14" spans="1:18" ht="15.6" x14ac:dyDescent="0.3">
      <c r="A14" s="34">
        <v>2</v>
      </c>
      <c r="B14" s="34" t="s">
        <v>79</v>
      </c>
      <c r="C14" s="34">
        <v>4</v>
      </c>
      <c r="D14" s="34">
        <v>5</v>
      </c>
      <c r="E14" s="29"/>
      <c r="F14" s="29"/>
      <c r="G14" s="29"/>
      <c r="H14" s="29"/>
      <c r="I14" s="29"/>
      <c r="J14" s="29"/>
      <c r="K14" s="29"/>
      <c r="L14" s="29"/>
      <c r="M14" s="29"/>
      <c r="N14" s="29"/>
      <c r="O14" s="29"/>
      <c r="P14" s="29"/>
      <c r="Q14" s="29"/>
      <c r="R14" s="29"/>
    </row>
    <row r="15" spans="1:18" ht="15.6" x14ac:dyDescent="0.3">
      <c r="A15" s="35">
        <v>3</v>
      </c>
      <c r="B15" s="35" t="s">
        <v>82</v>
      </c>
      <c r="C15" s="35">
        <f>ActivityEffortEstimation!I7</f>
        <v>3</v>
      </c>
      <c r="D15" s="35">
        <v>4</v>
      </c>
      <c r="E15" s="29"/>
      <c r="F15" s="29"/>
      <c r="G15" s="29"/>
      <c r="H15" s="29"/>
      <c r="I15" s="29"/>
      <c r="J15" s="29"/>
      <c r="K15" s="29"/>
      <c r="L15" s="29"/>
      <c r="M15" s="29"/>
      <c r="N15" s="29"/>
      <c r="O15" s="29"/>
      <c r="P15" s="29"/>
      <c r="Q15" s="29"/>
      <c r="R15" s="29"/>
    </row>
    <row r="16" spans="1:18" ht="15.6" x14ac:dyDescent="0.3">
      <c r="A16" s="34">
        <v>4</v>
      </c>
      <c r="B16" s="34" t="s">
        <v>85</v>
      </c>
      <c r="C16" s="34">
        <f>ActivityEffortEstimation!I8</f>
        <v>4</v>
      </c>
      <c r="D16" s="34">
        <v>3</v>
      </c>
      <c r="E16" s="29"/>
      <c r="F16" s="29"/>
      <c r="G16" s="29"/>
      <c r="H16" s="29"/>
      <c r="I16" s="29"/>
      <c r="J16" s="29"/>
      <c r="K16" s="29"/>
      <c r="L16" s="29"/>
      <c r="M16" s="29"/>
      <c r="N16" s="29"/>
      <c r="O16" s="29"/>
      <c r="P16" s="29"/>
      <c r="Q16" s="29"/>
      <c r="R16" s="29"/>
    </row>
    <row r="17" spans="1:18" ht="15.6" x14ac:dyDescent="0.3">
      <c r="A17" s="35">
        <v>5</v>
      </c>
      <c r="B17" s="35" t="s">
        <v>88</v>
      </c>
      <c r="C17" s="35">
        <f>ActivityEffortEstimation!I9</f>
        <v>5</v>
      </c>
      <c r="D17" s="35">
        <v>4</v>
      </c>
      <c r="E17" s="29"/>
      <c r="F17" s="29"/>
      <c r="G17" s="29"/>
      <c r="H17" s="29"/>
      <c r="I17" s="29"/>
      <c r="J17" s="29"/>
      <c r="K17" s="29"/>
      <c r="L17" s="29"/>
      <c r="M17" s="29"/>
      <c r="N17" s="29"/>
      <c r="O17" s="29"/>
      <c r="P17" s="29"/>
      <c r="Q17" s="29"/>
      <c r="R17" s="29"/>
    </row>
    <row r="18" spans="1:18" ht="18" x14ac:dyDescent="0.3">
      <c r="A18" s="124" t="s">
        <v>56</v>
      </c>
      <c r="B18" s="126"/>
      <c r="C18" s="45">
        <f>SUM(C13:C17)</f>
        <v>20</v>
      </c>
      <c r="D18" s="46">
        <f>SUM(D13:D17)</f>
        <v>20</v>
      </c>
      <c r="E18" s="29"/>
      <c r="F18" s="29"/>
      <c r="G18" s="29"/>
      <c r="H18" s="29"/>
      <c r="I18" s="29"/>
      <c r="J18" s="29"/>
      <c r="K18" s="29"/>
      <c r="L18" s="29"/>
      <c r="M18" s="29"/>
      <c r="N18" s="29"/>
      <c r="O18" s="29"/>
      <c r="P18" s="29"/>
      <c r="Q18" s="29"/>
      <c r="R18" s="29"/>
    </row>
    <row r="19" spans="1:18" x14ac:dyDescent="0.3">
      <c r="A19" s="29"/>
      <c r="B19" s="29"/>
      <c r="C19" s="29"/>
      <c r="D19" s="29"/>
      <c r="E19" s="29"/>
      <c r="F19" s="29"/>
      <c r="G19" s="29"/>
      <c r="H19" s="29"/>
      <c r="I19" s="29"/>
      <c r="J19" s="29"/>
      <c r="K19" s="29"/>
      <c r="L19" s="29"/>
      <c r="M19" s="29"/>
      <c r="N19" s="29"/>
      <c r="O19" s="29"/>
      <c r="P19" s="29"/>
      <c r="Q19" s="29"/>
      <c r="R19" s="29"/>
    </row>
    <row r="20" spans="1:18" x14ac:dyDescent="0.3">
      <c r="A20" s="29"/>
      <c r="B20" s="29"/>
      <c r="C20" s="29"/>
      <c r="D20" s="29"/>
      <c r="E20" s="29"/>
      <c r="F20" s="29"/>
      <c r="G20" s="29"/>
      <c r="H20" s="29"/>
      <c r="I20" s="29"/>
      <c r="J20" s="29"/>
      <c r="K20" s="29"/>
      <c r="L20" s="29"/>
      <c r="M20" s="29"/>
      <c r="N20" s="29"/>
      <c r="O20" s="29"/>
      <c r="P20" s="29"/>
      <c r="Q20" s="29"/>
      <c r="R20" s="29"/>
    </row>
    <row r="21" spans="1:18" x14ac:dyDescent="0.3">
      <c r="A21" s="29"/>
      <c r="B21" s="29"/>
      <c r="C21" s="29"/>
      <c r="D21" s="29"/>
      <c r="E21" s="29"/>
      <c r="F21" s="29"/>
      <c r="G21" s="29"/>
      <c r="H21" s="29"/>
      <c r="I21" s="29"/>
      <c r="J21" s="29"/>
      <c r="K21" s="29"/>
      <c r="L21" s="29"/>
      <c r="M21" s="29"/>
      <c r="N21" s="29"/>
      <c r="O21" s="29"/>
      <c r="P21" s="29"/>
      <c r="Q21" s="29"/>
      <c r="R21" s="29"/>
    </row>
    <row r="22" spans="1:18" x14ac:dyDescent="0.3">
      <c r="A22" s="29"/>
      <c r="B22" s="29"/>
      <c r="C22" s="29"/>
      <c r="D22" s="29"/>
      <c r="E22" s="29"/>
      <c r="F22" s="29"/>
      <c r="G22" s="29"/>
      <c r="H22" s="29"/>
      <c r="I22" s="29"/>
      <c r="J22" s="29"/>
      <c r="K22" s="29"/>
      <c r="L22" s="29"/>
      <c r="M22" s="29"/>
      <c r="N22" s="29"/>
      <c r="O22" s="29"/>
      <c r="P22" s="29"/>
      <c r="Q22" s="29"/>
      <c r="R22" s="29"/>
    </row>
    <row r="23" spans="1:18" x14ac:dyDescent="0.3">
      <c r="A23" s="29"/>
      <c r="B23" s="29"/>
      <c r="C23" s="29"/>
      <c r="D23" s="29"/>
      <c r="E23" s="29"/>
      <c r="F23" s="29"/>
      <c r="G23" s="29"/>
      <c r="H23" s="29"/>
      <c r="I23" s="29"/>
      <c r="J23" s="29"/>
      <c r="K23" s="29"/>
      <c r="L23" s="29"/>
      <c r="M23" s="29"/>
      <c r="N23" s="29"/>
      <c r="O23" s="29"/>
      <c r="P23" s="29"/>
      <c r="Q23" s="29"/>
      <c r="R23" s="29"/>
    </row>
    <row r="24" spans="1:18" x14ac:dyDescent="0.3">
      <c r="A24" s="29"/>
      <c r="B24" s="29"/>
      <c r="C24" s="29"/>
      <c r="D24" s="29"/>
      <c r="E24" s="29"/>
      <c r="F24" s="29"/>
      <c r="G24" s="29"/>
      <c r="H24" s="29"/>
      <c r="I24" s="29"/>
      <c r="J24" s="29"/>
      <c r="K24" s="29"/>
      <c r="L24" s="29"/>
      <c r="M24" s="29"/>
      <c r="N24" s="29"/>
      <c r="O24" s="29"/>
      <c r="P24" s="29"/>
      <c r="Q24" s="29"/>
      <c r="R24" s="29"/>
    </row>
    <row r="25" spans="1:18" x14ac:dyDescent="0.3">
      <c r="A25" s="29"/>
      <c r="B25" s="29"/>
      <c r="C25" s="29"/>
      <c r="D25" s="29"/>
      <c r="E25" s="29"/>
      <c r="F25" s="29"/>
      <c r="G25" s="29"/>
      <c r="H25" s="29"/>
      <c r="I25" s="29"/>
      <c r="J25" s="29"/>
      <c r="K25" s="29"/>
      <c r="L25" s="29"/>
      <c r="M25" s="29"/>
      <c r="N25" s="29"/>
      <c r="O25" s="29"/>
      <c r="P25" s="29"/>
      <c r="Q25" s="29"/>
      <c r="R25" s="29"/>
    </row>
    <row r="26" spans="1:18" x14ac:dyDescent="0.3">
      <c r="A26" s="29"/>
      <c r="B26" s="29"/>
      <c r="C26" s="29"/>
      <c r="D26" s="29"/>
      <c r="E26" s="29"/>
      <c r="F26" s="29"/>
      <c r="G26" s="29"/>
      <c r="H26" s="29"/>
      <c r="I26" s="29"/>
      <c r="J26" s="29"/>
      <c r="K26" s="29"/>
      <c r="L26" s="29"/>
      <c r="M26" s="29"/>
      <c r="N26" s="29"/>
      <c r="O26" s="29"/>
      <c r="P26" s="29"/>
      <c r="Q26" s="29"/>
      <c r="R26" s="29"/>
    </row>
    <row r="27" spans="1:18" x14ac:dyDescent="0.3">
      <c r="A27" s="29"/>
      <c r="B27" s="29"/>
      <c r="C27" s="29"/>
      <c r="D27" s="29"/>
      <c r="E27" s="29"/>
      <c r="F27" s="29"/>
      <c r="G27" s="29"/>
      <c r="H27" s="29"/>
      <c r="I27" s="29"/>
      <c r="J27" s="29"/>
      <c r="K27" s="29"/>
      <c r="L27" s="29"/>
      <c r="M27" s="29"/>
      <c r="N27" s="29"/>
      <c r="O27" s="29"/>
      <c r="P27" s="29"/>
      <c r="Q27" s="29"/>
      <c r="R27" s="29"/>
    </row>
    <row r="28" spans="1:18" x14ac:dyDescent="0.3">
      <c r="A28" s="29"/>
      <c r="B28" s="29"/>
    </row>
  </sheetData>
  <mergeCells count="5">
    <mergeCell ref="A1:P1"/>
    <mergeCell ref="A2:P2"/>
    <mergeCell ref="A3:D3"/>
    <mergeCell ref="A4:D4"/>
    <mergeCell ref="A18:B18"/>
  </mergeCells>
  <phoneticPr fontId="7" type="noConversion"/>
  <pageMargins left="0.7" right="0.7" top="0.75" bottom="0.75" header="0.3" footer="0.3"/>
  <pageSetup orientation="portrait" r:id="rId1"/>
  <ignoredErrors>
    <ignoredError sqref="C8:C11 D10:D11" calculatedColumn="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67ed6f9-e424-45d5-8c74-ddb945da27c5">
      <Terms xmlns="http://schemas.microsoft.com/office/infopath/2007/PartnerControls"/>
    </lcf76f155ced4ddcb4097134ff3c332f>
    <TaxCatchAll xmlns="d3eb2c67-3d1d-4aec-ae3d-d4f392be206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A93E036485F534196895BE42ED4F31A" ma:contentTypeVersion="18" ma:contentTypeDescription="Create a new document." ma:contentTypeScope="" ma:versionID="3920fef771520a0d07e10d0580c56caf">
  <xsd:schema xmlns:xsd="http://www.w3.org/2001/XMLSchema" xmlns:xs="http://www.w3.org/2001/XMLSchema" xmlns:p="http://schemas.microsoft.com/office/2006/metadata/properties" xmlns:ns2="267ed6f9-e424-45d5-8c74-ddb945da27c5" xmlns:ns3="d3eb2c67-3d1d-4aec-ae3d-d4f392be2065" targetNamespace="http://schemas.microsoft.com/office/2006/metadata/properties" ma:root="true" ma:fieldsID="6b8dfa0fe206b3223649bac7ebd4bb52" ns2:_="" ns3:_="">
    <xsd:import namespace="267ed6f9-e424-45d5-8c74-ddb945da27c5"/>
    <xsd:import namespace="d3eb2c67-3d1d-4aec-ae3d-d4f392be20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7ed6f9-e424-45d5-8c74-ddb945da27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eb2c67-3d1d-4aec-ae3d-d4f392be206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cb6beb-87bc-4eb7-ad22-a55f34100b7e}" ma:internalName="TaxCatchAll" ma:showField="CatchAllData" ma:web="d3eb2c67-3d1d-4aec-ae3d-d4f392be20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F0B2FC-7671-4434-9E7B-CBB46639BCAF}">
  <ds:schemaRefs>
    <ds:schemaRef ds:uri="http://schemas.microsoft.com/sharepoint/v3/contenttype/forms"/>
  </ds:schemaRefs>
</ds:datastoreItem>
</file>

<file path=customXml/itemProps2.xml><?xml version="1.0" encoding="utf-8"?>
<ds:datastoreItem xmlns:ds="http://schemas.openxmlformats.org/officeDocument/2006/customXml" ds:itemID="{8E3072DE-2540-477A-9F36-1F9548FB0ACB}">
  <ds:schemaRefs>
    <ds:schemaRef ds:uri="267ed6f9-e424-45d5-8c74-ddb945da27c5"/>
    <ds:schemaRef ds:uri="http://schemas.microsoft.com/office/infopath/2007/PartnerControls"/>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d3eb2c67-3d1d-4aec-ae3d-d4f392be2065"/>
    <ds:schemaRef ds:uri="http://www.w3.org/XML/1998/namespace"/>
    <ds:schemaRef ds:uri="http://purl.org/dc/terms/"/>
  </ds:schemaRefs>
</ds:datastoreItem>
</file>

<file path=customXml/itemProps3.xml><?xml version="1.0" encoding="utf-8"?>
<ds:datastoreItem xmlns:ds="http://schemas.openxmlformats.org/officeDocument/2006/customXml" ds:itemID="{F96F6D8B-708C-4428-B9AF-F820CA963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7ed6f9-e424-45d5-8c74-ddb945da27c5"/>
    <ds:schemaRef ds:uri="d3eb2c67-3d1d-4aec-ae3d-d4f392be20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ProductBacklog</vt:lpstr>
      <vt:lpstr>UserStories</vt:lpstr>
      <vt:lpstr>StoryPoints&amp;SprintPlan</vt:lpstr>
      <vt:lpstr>ActivityEffortEstimation</vt:lpstr>
      <vt:lpstr>ActivityTracker</vt:lpstr>
      <vt:lpstr>BurnDownChart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Madhanasekar, Divya</dc:creator>
  <cp:keywords/>
  <dc:description/>
  <cp:lastModifiedBy>KANIKA</cp:lastModifiedBy>
  <cp:revision/>
  <dcterms:created xsi:type="dcterms:W3CDTF">2020-09-01T08:37:54Z</dcterms:created>
  <dcterms:modified xsi:type="dcterms:W3CDTF">2026-09-07T04:29:11Z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0x010100BA93E036485F534196895BE42ED4F31A</vt:lpwstr>
  </property>
  <property fmtid="{D5CDD505-2E9C-101B-9397-08002B2CF9AE}" pid="3" name="WorkbookGuid">
    <vt:lpwstr>77830a26-56e2-4137-a303-1923aa182915</vt:lpwstr>
  </property>
  <property fmtid="{D5CDD505-2E9C-101B-9397-08002B2CF9AE}" pid="4" name="MediaServiceImageTags">
    <vt:lpwstr/>
  </property>
</Properties>
</file>